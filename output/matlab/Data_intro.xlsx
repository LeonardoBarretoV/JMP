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Barreto\Google Drive\GoodNotes\Fourth Year\Aiyagari RPI\AiyagariOpen\src\Matlab\"/>
    </mc:Choice>
  </mc:AlternateContent>
  <xr:revisionPtr revIDLastSave="0" documentId="8_{6CCC25A2-97BE-42A6-9430-97C35B0EFD90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README" sheetId="1" r:id="rId1"/>
    <sheet name="Quarterly" sheetId="2" r:id="rId2"/>
    <sheet name="Matlab" sheetId="4" r:id="rId3"/>
    <sheet name="Matlab_an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" i="4" l="1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P194" i="2"/>
  <c r="P193" i="2"/>
  <c r="N194" i="2"/>
  <c r="N112" i="2" s="1"/>
  <c r="O112" i="2" s="1"/>
  <c r="N193" i="2"/>
  <c r="K18" i="2"/>
  <c r="K34" i="2"/>
  <c r="K50" i="2"/>
  <c r="K66" i="2"/>
  <c r="K82" i="2"/>
  <c r="K98" i="2"/>
  <c r="K114" i="2"/>
  <c r="K130" i="2"/>
  <c r="K146" i="2"/>
  <c r="J191" i="2"/>
  <c r="K191" i="2" s="1"/>
  <c r="J190" i="2"/>
  <c r="K190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2" i="2"/>
  <c r="K2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2" i="2"/>
  <c r="N143" i="2" l="1"/>
  <c r="O143" i="2" s="1"/>
  <c r="N90" i="2"/>
  <c r="O90" i="2" s="1"/>
  <c r="N157" i="2"/>
  <c r="O157" i="2" s="1"/>
  <c r="N145" i="2"/>
  <c r="O145" i="2" s="1"/>
  <c r="N142" i="2"/>
  <c r="O142" i="2" s="1"/>
  <c r="N179" i="2"/>
  <c r="O179" i="2" s="1"/>
  <c r="N140" i="2"/>
  <c r="O140" i="2" s="1"/>
  <c r="N178" i="2"/>
  <c r="O178" i="2" s="1"/>
  <c r="N128" i="2"/>
  <c r="O128" i="2" s="1"/>
  <c r="N177" i="2"/>
  <c r="O177" i="2" s="1"/>
  <c r="N127" i="2"/>
  <c r="O127" i="2" s="1"/>
  <c r="N176" i="2"/>
  <c r="O176" i="2" s="1"/>
  <c r="N126" i="2"/>
  <c r="O126" i="2" s="1"/>
  <c r="N175" i="2"/>
  <c r="O175" i="2" s="1"/>
  <c r="N125" i="2"/>
  <c r="O125" i="2" s="1"/>
  <c r="N174" i="2"/>
  <c r="O174" i="2" s="1"/>
  <c r="N123" i="2"/>
  <c r="O123" i="2" s="1"/>
  <c r="N162" i="2"/>
  <c r="O162" i="2" s="1"/>
  <c r="N111" i="2"/>
  <c r="O111" i="2" s="1"/>
  <c r="N161" i="2"/>
  <c r="O161" i="2" s="1"/>
  <c r="N110" i="2"/>
  <c r="O110" i="2" s="1"/>
  <c r="N160" i="2"/>
  <c r="O160" i="2" s="1"/>
  <c r="N109" i="2"/>
  <c r="O109" i="2" s="1"/>
  <c r="N159" i="2"/>
  <c r="O159" i="2" s="1"/>
  <c r="N108" i="2"/>
  <c r="O108" i="2" s="1"/>
  <c r="N158" i="2"/>
  <c r="O158" i="2" s="1"/>
  <c r="N104" i="2"/>
  <c r="O104" i="2" s="1"/>
  <c r="N144" i="2"/>
  <c r="O144" i="2" s="1"/>
  <c r="P103" i="2"/>
  <c r="P136" i="2"/>
  <c r="P134" i="2"/>
  <c r="P181" i="2"/>
  <c r="P117" i="2"/>
  <c r="P148" i="2"/>
  <c r="P163" i="2"/>
  <c r="P115" i="2"/>
  <c r="P146" i="2"/>
  <c r="P177" i="2"/>
  <c r="P97" i="2"/>
  <c r="P144" i="2"/>
  <c r="P90" i="2"/>
  <c r="P127" i="2"/>
  <c r="P158" i="2"/>
  <c r="P142" i="2"/>
  <c r="P110" i="2"/>
  <c r="P157" i="2"/>
  <c r="P125" i="2"/>
  <c r="P109" i="2"/>
  <c r="P93" i="2"/>
  <c r="P172" i="2"/>
  <c r="P140" i="2"/>
  <c r="P124" i="2"/>
  <c r="P108" i="2"/>
  <c r="P92" i="2"/>
  <c r="P187" i="2"/>
  <c r="P123" i="2"/>
  <c r="P107" i="2"/>
  <c r="P91" i="2"/>
  <c r="P186" i="2"/>
  <c r="P170" i="2"/>
  <c r="P138" i="2"/>
  <c r="P106" i="2"/>
  <c r="P185" i="2"/>
  <c r="P169" i="2"/>
  <c r="P153" i="2"/>
  <c r="P137" i="2"/>
  <c r="N141" i="2"/>
  <c r="O141" i="2" s="1"/>
  <c r="N124" i="2"/>
  <c r="O124" i="2" s="1"/>
  <c r="N107" i="2"/>
  <c r="O107" i="2" s="1"/>
  <c r="N190" i="2"/>
  <c r="O190" i="2" s="1"/>
  <c r="N173" i="2"/>
  <c r="O173" i="2" s="1"/>
  <c r="N156" i="2"/>
  <c r="O156" i="2" s="1"/>
  <c r="N139" i="2"/>
  <c r="O139" i="2" s="1"/>
  <c r="N122" i="2"/>
  <c r="O122" i="2" s="1"/>
  <c r="N99" i="2"/>
  <c r="O99" i="2" s="1"/>
  <c r="N189" i="2"/>
  <c r="O189" i="2" s="1"/>
  <c r="N172" i="2"/>
  <c r="O172" i="2" s="1"/>
  <c r="N155" i="2"/>
  <c r="O155" i="2" s="1"/>
  <c r="N138" i="2"/>
  <c r="O138" i="2" s="1"/>
  <c r="N121" i="2"/>
  <c r="O121" i="2" s="1"/>
  <c r="N98" i="2"/>
  <c r="O98" i="2" s="1"/>
  <c r="N188" i="2"/>
  <c r="O188" i="2" s="1"/>
  <c r="N171" i="2"/>
  <c r="O171" i="2" s="1"/>
  <c r="N154" i="2"/>
  <c r="O154" i="2" s="1"/>
  <c r="N137" i="2"/>
  <c r="O137" i="2" s="1"/>
  <c r="N120" i="2"/>
  <c r="O120" i="2" s="1"/>
  <c r="N187" i="2"/>
  <c r="O187" i="2" s="1"/>
  <c r="N170" i="2"/>
  <c r="O170" i="2" s="1"/>
  <c r="N153" i="2"/>
  <c r="O153" i="2" s="1"/>
  <c r="N136" i="2"/>
  <c r="O136" i="2" s="1"/>
  <c r="N119" i="2"/>
  <c r="O119" i="2" s="1"/>
  <c r="N186" i="2"/>
  <c r="O186" i="2" s="1"/>
  <c r="N169" i="2"/>
  <c r="O169" i="2" s="1"/>
  <c r="N152" i="2"/>
  <c r="O152" i="2" s="1"/>
  <c r="N135" i="2"/>
  <c r="O135" i="2" s="1"/>
  <c r="N117" i="2"/>
  <c r="O117" i="2" s="1"/>
  <c r="N185" i="2"/>
  <c r="O185" i="2" s="1"/>
  <c r="N168" i="2"/>
  <c r="O168" i="2" s="1"/>
  <c r="N151" i="2"/>
  <c r="O151" i="2" s="1"/>
  <c r="N133" i="2"/>
  <c r="O133" i="2" s="1"/>
  <c r="N116" i="2"/>
  <c r="O116" i="2" s="1"/>
  <c r="N184" i="2"/>
  <c r="O184" i="2" s="1"/>
  <c r="N167" i="2"/>
  <c r="O167" i="2" s="1"/>
  <c r="N149" i="2"/>
  <c r="O149" i="2" s="1"/>
  <c r="N132" i="2"/>
  <c r="O132" i="2" s="1"/>
  <c r="N115" i="2"/>
  <c r="O115" i="2" s="1"/>
  <c r="N183" i="2"/>
  <c r="O183" i="2" s="1"/>
  <c r="N165" i="2"/>
  <c r="O165" i="2" s="1"/>
  <c r="N148" i="2"/>
  <c r="O148" i="2" s="1"/>
  <c r="N131" i="2"/>
  <c r="O131" i="2" s="1"/>
  <c r="N114" i="2"/>
  <c r="O114" i="2" s="1"/>
  <c r="N181" i="2"/>
  <c r="O181" i="2" s="1"/>
  <c r="N164" i="2"/>
  <c r="O164" i="2" s="1"/>
  <c r="N147" i="2"/>
  <c r="O147" i="2" s="1"/>
  <c r="N130" i="2"/>
  <c r="O130" i="2" s="1"/>
  <c r="N113" i="2"/>
  <c r="O113" i="2" s="1"/>
  <c r="N180" i="2"/>
  <c r="O180" i="2" s="1"/>
  <c r="N163" i="2"/>
  <c r="O163" i="2" s="1"/>
  <c r="N146" i="2"/>
  <c r="O146" i="2" s="1"/>
  <c r="N129" i="2"/>
  <c r="O129" i="2" s="1"/>
  <c r="N100" i="2"/>
  <c r="O100" i="2" s="1"/>
  <c r="N97" i="2"/>
  <c r="O97" i="2" s="1"/>
  <c r="N96" i="2"/>
  <c r="O96" i="2" s="1"/>
  <c r="N95" i="2"/>
  <c r="O95" i="2" s="1"/>
  <c r="N94" i="2"/>
  <c r="O94" i="2" s="1"/>
  <c r="N93" i="2"/>
  <c r="O93" i="2" s="1"/>
  <c r="N92" i="2"/>
  <c r="O92" i="2" s="1"/>
  <c r="N91" i="2"/>
  <c r="O91" i="2" s="1"/>
  <c r="N106" i="2"/>
  <c r="O106" i="2" s="1"/>
  <c r="N105" i="2"/>
  <c r="O105" i="2" s="1"/>
  <c r="N103" i="2"/>
  <c r="O103" i="2" s="1"/>
  <c r="N182" i="2"/>
  <c r="O182" i="2" s="1"/>
  <c r="N166" i="2"/>
  <c r="O166" i="2" s="1"/>
  <c r="N150" i="2"/>
  <c r="O150" i="2" s="1"/>
  <c r="N134" i="2"/>
  <c r="O134" i="2" s="1"/>
  <c r="N118" i="2"/>
  <c r="O118" i="2" s="1"/>
  <c r="N102" i="2"/>
  <c r="O102" i="2" s="1"/>
  <c r="N101" i="2"/>
  <c r="O101" i="2" s="1"/>
  <c r="G114" i="2"/>
  <c r="G98" i="2"/>
  <c r="G82" i="2"/>
  <c r="G66" i="2"/>
  <c r="G50" i="2"/>
  <c r="G34" i="2"/>
  <c r="G18" i="2"/>
  <c r="G17" i="2"/>
  <c r="G16" i="2"/>
  <c r="G24" i="2"/>
  <c r="G175" i="2"/>
  <c r="G159" i="2"/>
  <c r="G143" i="2"/>
  <c r="G127" i="2"/>
  <c r="G111" i="2"/>
  <c r="G95" i="2"/>
  <c r="G79" i="2"/>
  <c r="G63" i="2"/>
  <c r="G47" i="2"/>
  <c r="G31" i="2"/>
  <c r="G15" i="2"/>
  <c r="G174" i="2"/>
  <c r="G158" i="2"/>
  <c r="G142" i="2"/>
  <c r="G126" i="2"/>
  <c r="G110" i="2"/>
  <c r="G94" i="2"/>
  <c r="G78" i="2"/>
  <c r="G62" i="2"/>
  <c r="G30" i="2"/>
  <c r="G132" i="2"/>
  <c r="G46" i="2"/>
  <c r="G189" i="2"/>
  <c r="G173" i="2"/>
  <c r="G157" i="2"/>
  <c r="G141" i="2"/>
  <c r="G125" i="2"/>
  <c r="G109" i="2"/>
  <c r="G93" i="2"/>
  <c r="G77" i="2"/>
  <c r="G61" i="2"/>
  <c r="G45" i="2"/>
  <c r="G29" i="2"/>
  <c r="G13" i="2"/>
  <c r="G188" i="2"/>
  <c r="G172" i="2"/>
  <c r="G156" i="2"/>
  <c r="G140" i="2"/>
  <c r="G124" i="2"/>
  <c r="G108" i="2"/>
  <c r="G92" i="2"/>
  <c r="G76" i="2"/>
  <c r="G60" i="2"/>
  <c r="G44" i="2"/>
  <c r="G28" i="2"/>
  <c r="G12" i="2"/>
  <c r="G190" i="2"/>
  <c r="G11" i="2"/>
  <c r="G10" i="2"/>
  <c r="G185" i="2"/>
  <c r="G169" i="2"/>
  <c r="G153" i="2"/>
  <c r="G137" i="2"/>
  <c r="G121" i="2"/>
  <c r="G105" i="2"/>
  <c r="G89" i="2"/>
  <c r="G73" i="2"/>
  <c r="G57" i="2"/>
  <c r="G41" i="2"/>
  <c r="G25" i="2"/>
  <c r="G9" i="2"/>
  <c r="G8" i="2"/>
  <c r="G183" i="2"/>
  <c r="G167" i="2"/>
  <c r="G151" i="2"/>
  <c r="G135" i="2"/>
  <c r="G119" i="2"/>
  <c r="G103" i="2"/>
  <c r="G87" i="2"/>
  <c r="G71" i="2"/>
  <c r="G55" i="2"/>
  <c r="G39" i="2"/>
  <c r="G23" i="2"/>
  <c r="G164" i="2"/>
  <c r="G182" i="2"/>
  <c r="G166" i="2"/>
  <c r="G150" i="2"/>
  <c r="G134" i="2"/>
  <c r="G118" i="2"/>
  <c r="G102" i="2"/>
  <c r="G86" i="2"/>
  <c r="G70" i="2"/>
  <c r="G54" i="2"/>
  <c r="G38" i="2"/>
  <c r="G22" i="2"/>
  <c r="G6" i="2"/>
  <c r="G181" i="2"/>
  <c r="G165" i="2"/>
  <c r="G149" i="2"/>
  <c r="G133" i="2"/>
  <c r="G117" i="2"/>
  <c r="G101" i="2"/>
  <c r="G85" i="2"/>
  <c r="G69" i="2"/>
  <c r="G53" i="2"/>
  <c r="G37" i="2"/>
  <c r="G21" i="2"/>
  <c r="G5" i="2"/>
  <c r="G116" i="2"/>
  <c r="G100" i="2"/>
  <c r="G84" i="2"/>
  <c r="G68" i="2"/>
  <c r="G52" i="2"/>
  <c r="G36" i="2"/>
  <c r="G20" i="2"/>
  <c r="G19" i="2"/>
  <c r="G3" i="2"/>
  <c r="G148" i="2"/>
  <c r="G178" i="2"/>
  <c r="G162" i="2"/>
  <c r="G146" i="2"/>
  <c r="G130" i="2"/>
  <c r="G177" i="2"/>
  <c r="G161" i="2"/>
  <c r="G145" i="2"/>
  <c r="G129" i="2"/>
  <c r="G113" i="2"/>
  <c r="G97" i="2"/>
  <c r="G81" i="2"/>
  <c r="G65" i="2"/>
  <c r="G49" i="2"/>
  <c r="G33" i="2"/>
  <c r="G176" i="2"/>
  <c r="G160" i="2"/>
  <c r="G144" i="2"/>
  <c r="G128" i="2"/>
  <c r="G112" i="2"/>
  <c r="G96" i="2"/>
  <c r="G80" i="2"/>
  <c r="G64" i="2"/>
  <c r="G48" i="2"/>
  <c r="G32" i="2"/>
  <c r="G2" i="2"/>
  <c r="G14" i="2"/>
  <c r="G155" i="2"/>
  <c r="G123" i="2"/>
  <c r="G27" i="2"/>
  <c r="G186" i="2"/>
  <c r="G170" i="2"/>
  <c r="G154" i="2"/>
  <c r="G138" i="2"/>
  <c r="G122" i="2"/>
  <c r="G106" i="2"/>
  <c r="G90" i="2"/>
  <c r="G74" i="2"/>
  <c r="G58" i="2"/>
  <c r="G42" i="2"/>
  <c r="G26" i="2"/>
  <c r="G107" i="2"/>
  <c r="G43" i="2"/>
  <c r="G184" i="2"/>
  <c r="G168" i="2"/>
  <c r="G152" i="2"/>
  <c r="G136" i="2"/>
  <c r="G120" i="2"/>
  <c r="G104" i="2"/>
  <c r="G88" i="2"/>
  <c r="G72" i="2"/>
  <c r="G56" i="2"/>
  <c r="G40" i="2"/>
  <c r="G187" i="2"/>
  <c r="G59" i="2"/>
  <c r="G7" i="2"/>
  <c r="G171" i="2"/>
  <c r="G139" i="2"/>
  <c r="G91" i="2"/>
  <c r="G75" i="2"/>
  <c r="G180" i="2"/>
  <c r="G4" i="2"/>
  <c r="G179" i="2"/>
  <c r="G163" i="2"/>
  <c r="G147" i="2"/>
  <c r="G131" i="2"/>
  <c r="G115" i="2"/>
  <c r="G99" i="2"/>
  <c r="G83" i="2"/>
  <c r="G67" i="2"/>
  <c r="G51" i="2"/>
  <c r="G35" i="2"/>
  <c r="P139" i="2" l="1"/>
  <c r="P173" i="2"/>
  <c r="P96" i="2"/>
  <c r="P162" i="2"/>
  <c r="P133" i="2"/>
  <c r="P151" i="2"/>
  <c r="P155" i="2"/>
  <c r="P189" i="2"/>
  <c r="P112" i="2"/>
  <c r="P178" i="2"/>
  <c r="P149" i="2"/>
  <c r="P152" i="2"/>
  <c r="P121" i="2"/>
  <c r="P171" i="2"/>
  <c r="P94" i="2"/>
  <c r="P128" i="2"/>
  <c r="P99" i="2"/>
  <c r="P165" i="2"/>
  <c r="P167" i="2"/>
  <c r="P168" i="2"/>
  <c r="P126" i="2"/>
  <c r="P160" i="2"/>
  <c r="P131" i="2"/>
  <c r="P102" i="2"/>
  <c r="P183" i="2"/>
  <c r="P176" i="2"/>
  <c r="P147" i="2"/>
  <c r="P118" i="2"/>
  <c r="P184" i="2"/>
  <c r="P174" i="2"/>
  <c r="P113" i="2"/>
  <c r="P179" i="2"/>
  <c r="P150" i="2"/>
  <c r="P122" i="2"/>
  <c r="P156" i="2"/>
  <c r="P190" i="2"/>
  <c r="P129" i="2"/>
  <c r="P100" i="2"/>
  <c r="P166" i="2"/>
  <c r="P95" i="2"/>
  <c r="P145" i="2"/>
  <c r="P116" i="2"/>
  <c r="P182" i="2"/>
  <c r="P154" i="2"/>
  <c r="P188" i="2"/>
  <c r="P111" i="2"/>
  <c r="P161" i="2"/>
  <c r="P132" i="2"/>
  <c r="P105" i="2"/>
  <c r="P104" i="2"/>
  <c r="P143" i="2"/>
  <c r="P98" i="2"/>
  <c r="P164" i="2"/>
  <c r="P119" i="2"/>
  <c r="P159" i="2"/>
  <c r="P114" i="2"/>
  <c r="P180" i="2"/>
  <c r="P120" i="2"/>
  <c r="P141" i="2"/>
  <c r="P175" i="2"/>
  <c r="P130" i="2"/>
  <c r="P101" i="2"/>
  <c r="P135" i="2"/>
</calcChain>
</file>

<file path=xl/sharedStrings.xml><?xml version="1.0" encoding="utf-8"?>
<sst xmlns="http://schemas.openxmlformats.org/spreadsheetml/2006/main" count="45" uniqueCount="38">
  <si>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</si>
  <si>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</si>
  <si>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</si>
  <si>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</si>
  <si>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</si>
  <si>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2025-04-26 6:04 pm CDT</t>
  </si>
  <si>
    <t>UNRATE</t>
  </si>
  <si>
    <t>Unemployment Rate, Percent, Quarterly, Seasonally Adjusted</t>
  </si>
  <si>
    <t>Data Updated: 2025-04-04</t>
  </si>
  <si>
    <t>observation_date</t>
  </si>
  <si>
    <t>CPIAUCSL_PC1</t>
  </si>
  <si>
    <t>Consumer Price Index for All Urban Consumers: All Items in U.S. City Average, Percent Change from Year Ago, Quarterly, Seasonally Adjusted</t>
  </si>
  <si>
    <t>Unemployment</t>
  </si>
  <si>
    <t>Inflation</t>
  </si>
  <si>
    <t>Misery</t>
  </si>
  <si>
    <t>Misery normalized</t>
  </si>
  <si>
    <t>GDPC1_PCH</t>
  </si>
  <si>
    <t>Real Gross Domestic Product, Percent Change, Quarterly, Seasonally Adjusted Annual Rate</t>
  </si>
  <si>
    <t>GDP growth QoQ</t>
  </si>
  <si>
    <t>CSI</t>
  </si>
  <si>
    <t>Year</t>
  </si>
  <si>
    <t>Quarter</t>
  </si>
  <si>
    <t>CSI normalized</t>
  </si>
  <si>
    <t>_ CSI normalized</t>
  </si>
  <si>
    <t>Debt to GDP</t>
  </si>
  <si>
    <t>GFDEGDQ188S</t>
  </si>
  <si>
    <t>Federal Debt: Total Public Debt as Percent of Gross Domestic Product, Percent of GDP, Quarterly, Seasonally Adjusted</t>
  </si>
  <si>
    <t>year</t>
  </si>
  <si>
    <t>quarter</t>
  </si>
  <si>
    <t>unemploy</t>
  </si>
  <si>
    <t>inflation</t>
  </si>
  <si>
    <t>csi</t>
  </si>
  <si>
    <t>debt_gdp</t>
  </si>
  <si>
    <t>gdp_growth</t>
  </si>
  <si>
    <t>misery</t>
  </si>
  <si>
    <t>Misery normalized 2000</t>
  </si>
  <si>
    <t>CSI normalized 2000</t>
  </si>
  <si>
    <t>_CSI normalized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</si>
</sst>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166" fontId="0" fillId="0" borderId="0" xfId="0" applyNumberFormat="1"/>
    <xf numFmtId="0" fontId="1" fillId="0" borderId="3" xfId="0" applyFont="1" applyFill="1" applyBorder="1" applyAlignment="1">
      <alignment horizontal="center" vertical="top"/>
    </xf>
    <xf numFmtId="165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Quarterly!$G$50:$G$190</c:f>
              <c:numCache>
                <c:formatCode>0.00</c:formatCode>
                <c:ptCount val="141"/>
                <c:pt idx="0">
                  <c:v>0.27733812284253123</c:v>
                </c:pt>
                <c:pt idx="1">
                  <c:v>0.10609335870761159</c:v>
                </c:pt>
                <c:pt idx="2">
                  <c:v>0.68217111102353489</c:v>
                </c:pt>
                <c:pt idx="3">
                  <c:v>0.82953997966399151</c:v>
                </c:pt>
                <c:pt idx="4">
                  <c:v>0.54584852766337577</c:v>
                </c:pt>
                <c:pt idx="5">
                  <c:v>0.56856389483630987</c:v>
                </c:pt>
                <c:pt idx="6">
                  <c:v>0.20409420319932225</c:v>
                </c:pt>
                <c:pt idx="7">
                  <c:v>0.13859422777489147</c:v>
                </c:pt>
                <c:pt idx="8">
                  <c:v>0.29331513447319307</c:v>
                </c:pt>
                <c:pt idx="9">
                  <c:v>0.30084945446635541</c:v>
                </c:pt>
                <c:pt idx="10">
                  <c:v>0.29416274547242416</c:v>
                </c:pt>
                <c:pt idx="11">
                  <c:v>0.22550625453472964</c:v>
                </c:pt>
                <c:pt idx="12">
                  <c:v>0.15037571686097434</c:v>
                </c:pt>
                <c:pt idx="13">
                  <c:v>0.14382875735078676</c:v>
                </c:pt>
                <c:pt idx="14">
                  <c:v>-1.8359632631060774E-2</c:v>
                </c:pt>
                <c:pt idx="15">
                  <c:v>-6.485367826628731E-2</c:v>
                </c:pt>
                <c:pt idx="16">
                  <c:v>-0.11321307570627219</c:v>
                </c:pt>
                <c:pt idx="17">
                  <c:v>-0.28242539626239033</c:v>
                </c:pt>
                <c:pt idx="18">
                  <c:v>-0.20017978704670542</c:v>
                </c:pt>
                <c:pt idx="19">
                  <c:v>-0.43353712064138666</c:v>
                </c:pt>
                <c:pt idx="20">
                  <c:v>-0.40624951492421463</c:v>
                </c:pt>
                <c:pt idx="21">
                  <c:v>-0.26790360208202074</c:v>
                </c:pt>
                <c:pt idx="22">
                  <c:v>-0.41901228842876137</c:v>
                </c:pt>
                <c:pt idx="23">
                  <c:v>-0.45351218272003346</c:v>
                </c:pt>
                <c:pt idx="24">
                  <c:v>-0.3890238720366207</c:v>
                </c:pt>
                <c:pt idx="25">
                  <c:v>-0.39582906428850984</c:v>
                </c:pt>
                <c:pt idx="26">
                  <c:v>-0.40097852896125596</c:v>
                </c:pt>
                <c:pt idx="27">
                  <c:v>-0.287280171806372</c:v>
                </c:pt>
                <c:pt idx="28">
                  <c:v>-0.50405896338384004</c:v>
                </c:pt>
                <c:pt idx="29">
                  <c:v>-0.72635178350469143</c:v>
                </c:pt>
                <c:pt idx="30">
                  <c:v>-0.76103699776353728</c:v>
                </c:pt>
                <c:pt idx="31">
                  <c:v>-0.9804892577256763</c:v>
                </c:pt>
                <c:pt idx="32">
                  <c:v>-1.1081868675130175</c:v>
                </c:pt>
                <c:pt idx="33">
                  <c:v>-1.0941359683322198</c:v>
                </c:pt>
                <c:pt idx="34">
                  <c:v>-1.1233527245315125</c:v>
                </c:pt>
                <c:pt idx="35">
                  <c:v>-1.0990120101019887</c:v>
                </c:pt>
                <c:pt idx="36">
                  <c:v>-1.0924863168175882</c:v>
                </c:pt>
                <c:pt idx="37">
                  <c:v>-1.0204241917216936</c:v>
                </c:pt>
                <c:pt idx="38">
                  <c:v>-0.84896676532890303</c:v>
                </c:pt>
                <c:pt idx="39">
                  <c:v>-0.86524150412058554</c:v>
                </c:pt>
                <c:pt idx="40">
                  <c:v>-0.56577051258590172</c:v>
                </c:pt>
                <c:pt idx="41">
                  <c:v>-0.60441428287341348</c:v>
                </c:pt>
                <c:pt idx="42">
                  <c:v>-0.65862493043712089</c:v>
                </c:pt>
                <c:pt idx="43">
                  <c:v>-0.69522714304906608</c:v>
                </c:pt>
                <c:pt idx="44">
                  <c:v>-0.74187916636156803</c:v>
                </c:pt>
                <c:pt idx="45">
                  <c:v>-0.61686413905566351</c:v>
                </c:pt>
                <c:pt idx="46">
                  <c:v>-0.67816859193551415</c:v>
                </c:pt>
                <c:pt idx="47">
                  <c:v>-0.76581582250113622</c:v>
                </c:pt>
                <c:pt idx="48">
                  <c:v>-0.77821403213504603</c:v>
                </c:pt>
                <c:pt idx="49">
                  <c:v>-0.83704248872682097</c:v>
                </c:pt>
                <c:pt idx="50">
                  <c:v>-0.73168960617726675</c:v>
                </c:pt>
                <c:pt idx="51">
                  <c:v>-0.37798062478857819</c:v>
                </c:pt>
                <c:pt idx="52">
                  <c:v>-0.21242609506785001</c:v>
                </c:pt>
                <c:pt idx="53">
                  <c:v>-0.47868835601976739</c:v>
                </c:pt>
                <c:pt idx="54">
                  <c:v>-0.34819271852528777</c:v>
                </c:pt>
                <c:pt idx="55">
                  <c:v>-0.54357464892862495</c:v>
                </c:pt>
                <c:pt idx="56">
                  <c:v>-0.66361337940033593</c:v>
                </c:pt>
                <c:pt idx="57">
                  <c:v>-0.26028725521796497</c:v>
                </c:pt>
                <c:pt idx="58">
                  <c:v>-0.51198822757019258</c:v>
                </c:pt>
                <c:pt idx="59">
                  <c:v>-0.26798866698516938</c:v>
                </c:pt>
                <c:pt idx="60">
                  <c:v>-0.33952825053315061</c:v>
                </c:pt>
                <c:pt idx="61">
                  <c:v>-0.6025641212299313</c:v>
                </c:pt>
                <c:pt idx="62">
                  <c:v>3.5665694965072929E-2</c:v>
                </c:pt>
                <c:pt idx="63">
                  <c:v>-0.39065529535772109</c:v>
                </c:pt>
                <c:pt idx="64">
                  <c:v>-0.4576834010065709</c:v>
                </c:pt>
                <c:pt idx="65">
                  <c:v>-0.25601881989925757</c:v>
                </c:pt>
                <c:pt idx="66">
                  <c:v>-0.91516548817205423</c:v>
                </c:pt>
                <c:pt idx="67">
                  <c:v>-0.82040622409675701</c:v>
                </c:pt>
                <c:pt idx="68">
                  <c:v>-0.70671698103863911</c:v>
                </c:pt>
                <c:pt idx="69">
                  <c:v>-0.73874695510634636</c:v>
                </c:pt>
                <c:pt idx="70">
                  <c:v>-0.63513182700682791</c:v>
                </c:pt>
                <c:pt idx="71">
                  <c:v>-0.21740846796655461</c:v>
                </c:pt>
                <c:pt idx="72">
                  <c:v>-0.19733011279122692</c:v>
                </c:pt>
                <c:pt idx="73">
                  <c:v>0.18578702082883874</c:v>
                </c:pt>
                <c:pt idx="74">
                  <c:v>0.40372026466332372</c:v>
                </c:pt>
                <c:pt idx="75">
                  <c:v>-0.83444497114853311</c:v>
                </c:pt>
                <c:pt idx="76">
                  <c:v>-0.53800897383690161</c:v>
                </c:pt>
                <c:pt idx="77">
                  <c:v>-0.47198949489681374</c:v>
                </c:pt>
                <c:pt idx="78">
                  <c:v>-0.42604533309979864</c:v>
                </c:pt>
                <c:pt idx="79">
                  <c:v>0.93865698417787258</c:v>
                </c:pt>
                <c:pt idx="80">
                  <c:v>0.74788374870583663</c:v>
                </c:pt>
                <c:pt idx="81">
                  <c:v>0.33331082911431675</c:v>
                </c:pt>
                <c:pt idx="82">
                  <c:v>0.30194314607826628</c:v>
                </c:pt>
                <c:pt idx="83">
                  <c:v>0.39900220057083113</c:v>
                </c:pt>
                <c:pt idx="84">
                  <c:v>0.60602890860876213</c:v>
                </c:pt>
                <c:pt idx="85">
                  <c:v>0.90469178356353375</c:v>
                </c:pt>
                <c:pt idx="86">
                  <c:v>0.96858160189265097</c:v>
                </c:pt>
                <c:pt idx="87">
                  <c:v>0.6190408007582443</c:v>
                </c:pt>
                <c:pt idx="88">
                  <c:v>0.38232036545693765</c:v>
                </c:pt>
                <c:pt idx="89">
                  <c:v>6.9703808353537969E-2</c:v>
                </c:pt>
                <c:pt idx="90">
                  <c:v>9.8823347520660687E-2</c:v>
                </c:pt>
                <c:pt idx="91">
                  <c:v>-1.972674714594921E-2</c:v>
                </c:pt>
                <c:pt idx="92">
                  <c:v>-0.12324769624555297</c:v>
                </c:pt>
                <c:pt idx="93">
                  <c:v>-0.12414695379312396</c:v>
                </c:pt>
                <c:pt idx="94">
                  <c:v>-0.40396795270047875</c:v>
                </c:pt>
                <c:pt idx="95">
                  <c:v>-0.36808575373304114</c:v>
                </c:pt>
                <c:pt idx="96">
                  <c:v>-0.39851164676994627</c:v>
                </c:pt>
                <c:pt idx="97">
                  <c:v>-0.41482891801320265</c:v>
                </c:pt>
                <c:pt idx="98">
                  <c:v>-0.55911418391452317</c:v>
                </c:pt>
                <c:pt idx="99">
                  <c:v>-0.99383533342324204</c:v>
                </c:pt>
                <c:pt idx="100">
                  <c:v>-1.2597087262464799</c:v>
                </c:pt>
                <c:pt idx="101">
                  <c:v>-1.2288423185325554</c:v>
                </c:pt>
                <c:pt idx="102">
                  <c:v>-1.3718516108866465</c:v>
                </c:pt>
                <c:pt idx="103">
                  <c:v>-1.2108723577424116</c:v>
                </c:pt>
                <c:pt idx="104">
                  <c:v>-1.1644208445587596</c:v>
                </c:pt>
                <c:pt idx="105">
                  <c:v>-1.1074060932234031</c:v>
                </c:pt>
                <c:pt idx="106">
                  <c:v>-0.96481604932054477</c:v>
                </c:pt>
                <c:pt idx="107">
                  <c:v>-0.84263854414109762</c:v>
                </c:pt>
                <c:pt idx="108">
                  <c:v>-0.78479441000004235</c:v>
                </c:pt>
                <c:pt idx="109">
                  <c:v>-1.0887890315628785</c:v>
                </c:pt>
                <c:pt idx="110">
                  <c:v>-0.95511561232934783</c:v>
                </c:pt>
                <c:pt idx="111">
                  <c:v>-1.0008805302233004</c:v>
                </c:pt>
                <c:pt idx="112">
                  <c:v>-1.000570650933259</c:v>
                </c:pt>
                <c:pt idx="113">
                  <c:v>-0.88615835619837791</c:v>
                </c:pt>
                <c:pt idx="114">
                  <c:v>-1.0609940744590707</c:v>
                </c:pt>
                <c:pt idx="115">
                  <c:v>-1.161151921852049</c:v>
                </c:pt>
                <c:pt idx="116">
                  <c:v>-1.1669819057499839</c:v>
                </c:pt>
                <c:pt idx="117">
                  <c:v>-1.322529157221729</c:v>
                </c:pt>
                <c:pt idx="118">
                  <c:v>-1.3184855362899144</c:v>
                </c:pt>
                <c:pt idx="119">
                  <c:v>-1.125561373981121</c:v>
                </c:pt>
                <c:pt idx="120">
                  <c:v>-1.3155872535183513</c:v>
                </c:pt>
                <c:pt idx="121">
                  <c:v>1.2432318699014722</c:v>
                </c:pt>
                <c:pt idx="122">
                  <c:v>0.17213106584123142</c:v>
                </c:pt>
                <c:pt idx="123">
                  <c:v>-0.45692389294274421</c:v>
                </c:pt>
                <c:pt idx="124">
                  <c:v>-0.24328035065275294</c:v>
                </c:pt>
                <c:pt idx="125">
                  <c:v>0.4839546965259956</c:v>
                </c:pt>
                <c:pt idx="126">
                  <c:v>0.25491744479836109</c:v>
                </c:pt>
                <c:pt idx="127">
                  <c:v>0.52710690668038351</c:v>
                </c:pt>
                <c:pt idx="128">
                  <c:v>0.82523508795822076</c:v>
                </c:pt>
                <c:pt idx="129">
                  <c:v>0.90377429782243102</c:v>
                </c:pt>
                <c:pt idx="130">
                  <c:v>0.6323109256494277</c:v>
                </c:pt>
                <c:pt idx="131">
                  <c:v>0.1173887626328453</c:v>
                </c:pt>
                <c:pt idx="132">
                  <c:v>-0.36246235602846716</c:v>
                </c:pt>
                <c:pt idx="133">
                  <c:v>-0.93121237454458816</c:v>
                </c:pt>
                <c:pt idx="134">
                  <c:v>-0.67728452454921972</c:v>
                </c:pt>
                <c:pt idx="135">
                  <c:v>-0.7601863487320516</c:v>
                </c:pt>
                <c:pt idx="136">
                  <c:v>-0.71558803522413694</c:v>
                </c:pt>
                <c:pt idx="137">
                  <c:v>-0.80639785736753411</c:v>
                </c:pt>
                <c:pt idx="138">
                  <c:v>-0.90894663614543936</c:v>
                </c:pt>
                <c:pt idx="139">
                  <c:v>-0.80570518601332408</c:v>
                </c:pt>
                <c:pt idx="140">
                  <c:v>-0.94751445562656855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0-4935-91CD-D9754E01A46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Quarterly!$K$50:$K$191</c:f>
              <c:numCache>
                <c:formatCode>General</c:formatCode>
                <c:ptCount val="142"/>
                <c:pt idx="0">
                  <c:v>-0.50889801246783506</c:v>
                </c:pt>
                <c:pt idx="1">
                  <c:v>-0.47802086986852882</c:v>
                </c:pt>
                <c:pt idx="2">
                  <c:v>0.4328548368110276</c:v>
                </c:pt>
                <c:pt idx="3">
                  <c:v>1.505835542136944</c:v>
                </c:pt>
                <c:pt idx="4">
                  <c:v>0.7647841197535773</c:v>
                </c:pt>
                <c:pt idx="5">
                  <c:v>0.30162698076397276</c:v>
                </c:pt>
                <c:pt idx="6">
                  <c:v>0.16267983906709166</c:v>
                </c:pt>
                <c:pt idx="7">
                  <c:v>0.98864340359855218</c:v>
                </c:pt>
                <c:pt idx="8">
                  <c:v>1.0812748313964733</c:v>
                </c:pt>
                <c:pt idx="9">
                  <c:v>0.44829340811068019</c:v>
                </c:pt>
                <c:pt idx="10">
                  <c:v>0.66443340630582981</c:v>
                </c:pt>
                <c:pt idx="11">
                  <c:v>0.10864483951830424</c:v>
                </c:pt>
                <c:pt idx="12">
                  <c:v>-0.20012658647476544</c:v>
                </c:pt>
                <c:pt idx="13">
                  <c:v>0.17039912471691795</c:v>
                </c:pt>
                <c:pt idx="14">
                  <c:v>0.56408269285808132</c:v>
                </c:pt>
                <c:pt idx="15">
                  <c:v>4.6890554319690518E-2</c:v>
                </c:pt>
                <c:pt idx="16">
                  <c:v>-0.64012586851488995</c:v>
                </c:pt>
                <c:pt idx="17">
                  <c:v>-0.57837158331627625</c:v>
                </c:pt>
                <c:pt idx="18">
                  <c:v>-0.46258229856887512</c:v>
                </c:pt>
                <c:pt idx="19">
                  <c:v>-0.64784515416471622</c:v>
                </c:pt>
                <c:pt idx="20">
                  <c:v>-0.74047658196263733</c:v>
                </c:pt>
                <c:pt idx="21">
                  <c:v>-0.53977515506714246</c:v>
                </c:pt>
                <c:pt idx="22">
                  <c:v>-0.64784515416471622</c:v>
                </c:pt>
                <c:pt idx="23">
                  <c:v>-0.39310872772043398</c:v>
                </c:pt>
                <c:pt idx="24">
                  <c:v>-0.44714372726922141</c:v>
                </c:pt>
                <c:pt idx="25">
                  <c:v>-0.52433658376748882</c:v>
                </c:pt>
                <c:pt idx="26">
                  <c:v>-0.78679229586159849</c:v>
                </c:pt>
                <c:pt idx="27">
                  <c:v>-0.98749372275709335</c:v>
                </c:pt>
                <c:pt idx="28">
                  <c:v>-1.1032830075044944</c:v>
                </c:pt>
                <c:pt idx="29">
                  <c:v>-1.4120544334975642</c:v>
                </c:pt>
                <c:pt idx="30">
                  <c:v>-1.6281944316927126</c:v>
                </c:pt>
                <c:pt idx="31">
                  <c:v>-1.5664401464940989</c:v>
                </c:pt>
                <c:pt idx="32">
                  <c:v>-1.7825801446892475</c:v>
                </c:pt>
                <c:pt idx="33">
                  <c:v>-1.7131065738408076</c:v>
                </c:pt>
                <c:pt idx="34">
                  <c:v>-1.4506508617466978</c:v>
                </c:pt>
                <c:pt idx="35">
                  <c:v>-1.1959144353024156</c:v>
                </c:pt>
                <c:pt idx="36">
                  <c:v>-1.63591371734254</c:v>
                </c:pt>
                <c:pt idx="37">
                  <c:v>-1.6590715742920201</c:v>
                </c:pt>
                <c:pt idx="38">
                  <c:v>-1.63591371734254</c:v>
                </c:pt>
                <c:pt idx="39">
                  <c:v>-1.5818787177937526</c:v>
                </c:pt>
                <c:pt idx="40">
                  <c:v>-1.9601237146352624</c:v>
                </c:pt>
                <c:pt idx="41">
                  <c:v>-1.8597730011875149</c:v>
                </c:pt>
                <c:pt idx="42">
                  <c:v>-1.7594222877397676</c:v>
                </c:pt>
                <c:pt idx="43">
                  <c:v>-1.4815280043460053</c:v>
                </c:pt>
                <c:pt idx="44">
                  <c:v>-0.58609086896610252</c:v>
                </c:pt>
                <c:pt idx="45">
                  <c:v>-0.48574015551835509</c:v>
                </c:pt>
                <c:pt idx="46">
                  <c:v>-0.29275801427268655</c:v>
                </c:pt>
                <c:pt idx="47">
                  <c:v>-3.0302302178576896E-2</c:v>
                </c:pt>
                <c:pt idx="48">
                  <c:v>-0.64784515416471622</c:v>
                </c:pt>
                <c:pt idx="49">
                  <c:v>-0.72503801066298368</c:v>
                </c:pt>
                <c:pt idx="50">
                  <c:v>-0.20012658647476544</c:v>
                </c:pt>
                <c:pt idx="51">
                  <c:v>7.0048411269170524E-2</c:v>
                </c:pt>
                <c:pt idx="52">
                  <c:v>0.36338126596258652</c:v>
                </c:pt>
                <c:pt idx="53">
                  <c:v>-0.35451229947130025</c:v>
                </c:pt>
                <c:pt idx="54">
                  <c:v>-0.35451229947130025</c:v>
                </c:pt>
                <c:pt idx="55">
                  <c:v>-0.56293301201662249</c:v>
                </c:pt>
                <c:pt idx="56">
                  <c:v>-1.0338094366560533</c:v>
                </c:pt>
                <c:pt idx="57">
                  <c:v>-0.67100301111419736</c:v>
                </c:pt>
                <c:pt idx="58">
                  <c:v>-0.84082729541038481</c:v>
                </c:pt>
                <c:pt idx="59">
                  <c:v>-0.70959943936333103</c:v>
                </c:pt>
                <c:pt idx="60">
                  <c:v>-0.72503801066298368</c:v>
                </c:pt>
                <c:pt idx="61">
                  <c:v>-0.42398587031974139</c:v>
                </c:pt>
                <c:pt idx="62">
                  <c:v>-0.20784587212459282</c:v>
                </c:pt>
                <c:pt idx="63">
                  <c:v>0.17811841036674425</c:v>
                </c:pt>
                <c:pt idx="64">
                  <c:v>-0.32363515687199396</c:v>
                </c:pt>
                <c:pt idx="65">
                  <c:v>7.0048411269170524E-2</c:v>
                </c:pt>
                <c:pt idx="66">
                  <c:v>5.4609839969516821E-2</c:v>
                </c:pt>
                <c:pt idx="67">
                  <c:v>-0.60152944026575628</c:v>
                </c:pt>
                <c:pt idx="68">
                  <c:v>-0.57837158331627625</c:v>
                </c:pt>
                <c:pt idx="69">
                  <c:v>-0.16924944387545912</c:v>
                </c:pt>
                <c:pt idx="70">
                  <c:v>-8.4337301727364311E-2</c:v>
                </c:pt>
                <c:pt idx="71">
                  <c:v>0.55636340720825506</c:v>
                </c:pt>
                <c:pt idx="72">
                  <c:v>0.91145054710028472</c:v>
                </c:pt>
                <c:pt idx="73">
                  <c:v>1.9381155385272417</c:v>
                </c:pt>
                <c:pt idx="74">
                  <c:v>1.5367126847362516</c:v>
                </c:pt>
                <c:pt idx="75">
                  <c:v>2.0847819658739497</c:v>
                </c:pt>
                <c:pt idx="76">
                  <c:v>2.0384662519749899</c:v>
                </c:pt>
                <c:pt idx="77">
                  <c:v>1.2742569726421418</c:v>
                </c:pt>
                <c:pt idx="78">
                  <c:v>1.2588184013424881</c:v>
                </c:pt>
                <c:pt idx="79">
                  <c:v>1.1275905452954345</c:v>
                </c:pt>
                <c:pt idx="80">
                  <c:v>0.83425769060201727</c:v>
                </c:pt>
                <c:pt idx="81">
                  <c:v>0.83425769060201727</c:v>
                </c:pt>
                <c:pt idx="82">
                  <c:v>1.2665376869923155</c:v>
                </c:pt>
                <c:pt idx="83">
                  <c:v>1.0426784031473395</c:v>
                </c:pt>
                <c:pt idx="84">
                  <c:v>0.89601197580063208</c:v>
                </c:pt>
                <c:pt idx="85">
                  <c:v>0.98864340359855218</c:v>
                </c:pt>
                <c:pt idx="86">
                  <c:v>1.9458348241770687</c:v>
                </c:pt>
                <c:pt idx="87">
                  <c:v>1.5444319703860778</c:v>
                </c:pt>
                <c:pt idx="88">
                  <c:v>0.71074912020478986</c:v>
                </c:pt>
                <c:pt idx="89">
                  <c:v>0.64899483500617616</c:v>
                </c:pt>
                <c:pt idx="90">
                  <c:v>0.74934554845392354</c:v>
                </c:pt>
                <c:pt idx="91">
                  <c:v>0.40969697986154652</c:v>
                </c:pt>
                <c:pt idx="92">
                  <c:v>0.61811769240686876</c:v>
                </c:pt>
                <c:pt idx="93">
                  <c:v>0.23215340991553166</c:v>
                </c:pt>
                <c:pt idx="94">
                  <c:v>0.23987269556535906</c:v>
                </c:pt>
                <c:pt idx="95">
                  <c:v>0.602679121107215</c:v>
                </c:pt>
                <c:pt idx="96">
                  <c:v>0.29390769511414538</c:v>
                </c:pt>
                <c:pt idx="97">
                  <c:v>0.14724126776743796</c:v>
                </c:pt>
                <c:pt idx="98">
                  <c:v>0.13180269646778425</c:v>
                </c:pt>
                <c:pt idx="99">
                  <c:v>-0.39310872772043398</c:v>
                </c:pt>
                <c:pt idx="100">
                  <c:v>-0.83310800976055843</c:v>
                </c:pt>
                <c:pt idx="101">
                  <c:v>-0.73275729631281106</c:v>
                </c:pt>
                <c:pt idx="102">
                  <c:v>-0.47030158421870139</c:v>
                </c:pt>
                <c:pt idx="103">
                  <c:v>-0.50889801246783506</c:v>
                </c:pt>
                <c:pt idx="104">
                  <c:v>-0.52433658376748882</c:v>
                </c:pt>
                <c:pt idx="105">
                  <c:v>-0.5938101546159299</c:v>
                </c:pt>
                <c:pt idx="106">
                  <c:v>-0.43170515596956771</c:v>
                </c:pt>
                <c:pt idx="107">
                  <c:v>-0.6555644398145436</c:v>
                </c:pt>
                <c:pt idx="108">
                  <c:v>-0.96433586580761332</c:v>
                </c:pt>
                <c:pt idx="109">
                  <c:v>-0.90258158060899962</c:v>
                </c:pt>
                <c:pt idx="110">
                  <c:v>-0.80223086716125103</c:v>
                </c:pt>
                <c:pt idx="111">
                  <c:v>-1.0569672936055345</c:v>
                </c:pt>
                <c:pt idx="112">
                  <c:v>-1.0955637218546681</c:v>
                </c:pt>
                <c:pt idx="113">
                  <c:v>-1.0492480079557069</c:v>
                </c:pt>
                <c:pt idx="114">
                  <c:v>-1.0338094366560533</c:v>
                </c:pt>
                <c:pt idx="115">
                  <c:v>-1.0415287223058807</c:v>
                </c:pt>
                <c:pt idx="116">
                  <c:v>-0.75591515326229108</c:v>
                </c:pt>
                <c:pt idx="117">
                  <c:v>-1.0569672936055345</c:v>
                </c:pt>
                <c:pt idx="118">
                  <c:v>-0.70188015371350365</c:v>
                </c:pt>
                <c:pt idx="119">
                  <c:v>-0.96433586580761332</c:v>
                </c:pt>
                <c:pt idx="120">
                  <c:v>-0.90258158060899962</c:v>
                </c:pt>
                <c:pt idx="121">
                  <c:v>0.826538404952191</c:v>
                </c:pt>
                <c:pt idx="122">
                  <c:v>0.7030298345549636</c:v>
                </c:pt>
                <c:pt idx="123">
                  <c:v>0.37881983726224022</c:v>
                </c:pt>
                <c:pt idx="124">
                  <c:v>0.34794269466293282</c:v>
                </c:pt>
                <c:pt idx="125">
                  <c:v>-6.8898730427710608E-2</c:v>
                </c:pt>
                <c:pt idx="126">
                  <c:v>0.7647841197535773</c:v>
                </c:pt>
                <c:pt idx="127">
                  <c:v>1.143029116595087</c:v>
                </c:pt>
                <c:pt idx="128">
                  <c:v>1.6679405407833057</c:v>
                </c:pt>
                <c:pt idx="129">
                  <c:v>2.0770626802241234</c:v>
                </c:pt>
                <c:pt idx="130">
                  <c:v>2.2082905362711776</c:v>
                </c:pt>
                <c:pt idx="131">
                  <c:v>1.9998698237258561</c:v>
                </c:pt>
                <c:pt idx="132">
                  <c:v>1.5521512560359052</c:v>
                </c:pt>
                <c:pt idx="133">
                  <c:v>1.72969482598192</c:v>
                </c:pt>
                <c:pt idx="134">
                  <c:v>1.166186973544568</c:v>
                </c:pt>
                <c:pt idx="135">
                  <c:v>1.5289933990864242</c:v>
                </c:pt>
                <c:pt idx="136">
                  <c:v>0.48688983635981392</c:v>
                </c:pt>
                <c:pt idx="137">
                  <c:v>1.0195205461978596</c:v>
                </c:pt>
                <c:pt idx="138">
                  <c:v>1.2819762582919692</c:v>
                </c:pt>
                <c:pt idx="139">
                  <c:v>0.97320483229889954</c:v>
                </c:pt>
                <c:pt idx="140">
                  <c:v>1.5598705416857315</c:v>
                </c:pt>
                <c:pt idx="141">
                  <c:v>2.2932026784192718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E0-4935-91CD-D9754E01A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610623"/>
        <c:axId val="949610143"/>
      </c:lineChart>
      <c:catAx>
        <c:axId val="949610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10143"/>
        <c:crosses val="autoZero"/>
        <c:auto val="1"/>
        <c:lblAlgn val="ctr"/>
        <c:lblOffset val="100"/>
        <c:noMultiLvlLbl val="0"/>
      </c:catAx>
      <c:valAx>
        <c:axId val="94961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1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224790</xdr:colOff>
      <xdr:row>160</xdr:row>
      <xdr:rowOff>76200</xdr:rowOff>
    </xdr:from>
    <xdr:to>
      <xdr:col>15</xdr:col>
      <xdr:colOff>769620</xdr:colOff>
      <xdr:row>181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21BD0F-4F6E-2787-0CF3-7997B5B33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9" sqref="B9"/>
    </sheetView>
  </sheetViews>
  <sheetFormatPr defaultRowHeight="14.4" x14ac:dyDescent="0.3"/>
  <cols>
    <col min="1" max="1" width="85.6640625" style="1" customWidth="1"/>
    <col min="2" max="2" width="55.441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  <row r="9" spans="1:3" x14ac:dyDescent="0.3">
      <c r="A9" s="1" t="s">
        <v>10</v>
      </c>
      <c r="B9" t="s">
        <v>11</v>
      </c>
    </row>
    <row r="10" spans="1:3" x14ac:dyDescent="0.3">
      <c r="A10" s="1" t="s">
        <v>16</v>
      </c>
      <c r="B10" t="s">
        <v>17</v>
      </c>
    </row>
    <row r="11" spans="1:3" x14ac:dyDescent="0.3">
      <c r="A11" s="1" t="s">
        <v>25</v>
      </c>
      <c r="B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4"/>
  <sheetViews>
    <sheetView workbookViewId="0">
      <pane ySplit="1" topLeftCell="A155" activePane="bottomLeft" state="frozen"/>
      <selection pane="bottomLeft" activeCell="L50" sqref="L50:L189"/>
    </sheetView>
  </sheetViews>
  <sheetFormatPr defaultRowHeight="14.4" x14ac:dyDescent="0.3"/>
  <cols>
    <col min="1" max="1" width="16.5546875" bestFit="1" customWidth="1"/>
    <col min="2" max="2" width="7.6640625" customWidth="1"/>
    <col min="3" max="3" width="8.44140625" customWidth="1"/>
    <col min="4" max="4" width="16.33203125" style="2" customWidth="1"/>
    <col min="6" max="6" width="8.109375" customWidth="1"/>
    <col min="7" max="7" width="18.109375" customWidth="1"/>
    <col min="8" max="8" width="17.21875" customWidth="1"/>
    <col min="10" max="10" width="13.88671875" bestFit="1" customWidth="1"/>
    <col min="11" max="11" width="15.21875" bestFit="1" customWidth="1"/>
    <col min="12" max="12" width="11.5546875" bestFit="1" customWidth="1"/>
    <col min="14" max="14" width="21.77734375" bestFit="1" customWidth="1"/>
    <col min="15" max="15" width="21.77734375" customWidth="1"/>
    <col min="16" max="16" width="21.77734375" bestFit="1" customWidth="1"/>
  </cols>
  <sheetData>
    <row r="1" spans="1:16" x14ac:dyDescent="0.3">
      <c r="A1" s="3" t="s">
        <v>9</v>
      </c>
      <c r="B1" s="3" t="s">
        <v>20</v>
      </c>
      <c r="C1" s="3" t="s">
        <v>21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18</v>
      </c>
      <c r="I1" s="3" t="s">
        <v>19</v>
      </c>
      <c r="J1" s="6" t="s">
        <v>22</v>
      </c>
      <c r="K1" s="3" t="s">
        <v>23</v>
      </c>
      <c r="L1" s="3" t="s">
        <v>24</v>
      </c>
      <c r="N1" s="8" t="s">
        <v>36</v>
      </c>
      <c r="O1" s="8" t="s">
        <v>37</v>
      </c>
      <c r="P1" s="8" t="s">
        <v>35</v>
      </c>
    </row>
    <row r="2" spans="1:16" x14ac:dyDescent="0.3">
      <c r="A2" s="4">
        <v>28491</v>
      </c>
      <c r="B2">
        <v>1978</v>
      </c>
      <c r="C2">
        <v>1</v>
      </c>
      <c r="D2" s="2">
        <v>6.3</v>
      </c>
      <c r="E2" s="5">
        <v>6.3758400000000002</v>
      </c>
      <c r="F2" s="5">
        <f>D2+E2</f>
        <v>12.675840000000001</v>
      </c>
      <c r="G2" s="5">
        <f>(F2-AVERAGE($F$2:$F$190))/_xlfn.STDEV.P($F$2:$F$190)</f>
        <v>0.92702739670455525</v>
      </c>
      <c r="H2" s="5">
        <v>3.86477</v>
      </c>
      <c r="I2">
        <v>82.6</v>
      </c>
      <c r="J2">
        <f>(I2-AVERAGE($I$2:$I$189))/_xlfn.STDEV.P($I$2:$I$189)</f>
        <v>-0.16267983906709166</v>
      </c>
      <c r="K2">
        <f>-J2</f>
        <v>0.16267983906709166</v>
      </c>
      <c r="L2" s="7">
        <v>33.501199999999997</v>
      </c>
    </row>
    <row r="3" spans="1:16" x14ac:dyDescent="0.3">
      <c r="A3" s="4">
        <v>28581</v>
      </c>
      <c r="B3">
        <v>1978</v>
      </c>
      <c r="C3">
        <v>2</v>
      </c>
      <c r="D3" s="2">
        <v>6</v>
      </c>
      <c r="E3" s="5">
        <v>7.4380199999999999</v>
      </c>
      <c r="F3" s="5">
        <f t="shared" ref="F3:F66" si="0">D3+E3</f>
        <v>13.43802</v>
      </c>
      <c r="G3" s="5">
        <f t="shared" ref="G3:G66" si="1">(F3-AVERAGE($F$2:$F$190))/_xlfn.STDEV.P($F$2:$F$190)</f>
        <v>1.1585801391395836</v>
      </c>
      <c r="H3" s="5">
        <v>1.0057499999999999</v>
      </c>
      <c r="I3">
        <v>81.8</v>
      </c>
      <c r="J3">
        <f t="shared" ref="J3:J66" si="2">(I3-AVERAGE($I$2:$I$189))/_xlfn.STDEV.P($I$2:$I$189)</f>
        <v>-0.22443412426570536</v>
      </c>
      <c r="K3">
        <f t="shared" ref="K3:K66" si="3">-J3</f>
        <v>0.22443412426570536</v>
      </c>
      <c r="L3" s="7">
        <v>32.12444</v>
      </c>
    </row>
    <row r="4" spans="1:16" x14ac:dyDescent="0.3">
      <c r="A4" s="4">
        <v>28672</v>
      </c>
      <c r="B4">
        <v>1978</v>
      </c>
      <c r="C4">
        <v>3</v>
      </c>
      <c r="D4" s="2">
        <v>6</v>
      </c>
      <c r="E4" s="5">
        <v>8.4828700000000001</v>
      </c>
      <c r="F4" s="5">
        <f t="shared" si="0"/>
        <v>14.48287</v>
      </c>
      <c r="G4" s="5">
        <f t="shared" si="1"/>
        <v>1.4760089393353901</v>
      </c>
      <c r="H4" s="5">
        <v>1.34413</v>
      </c>
      <c r="I4">
        <v>80</v>
      </c>
      <c r="J4">
        <f t="shared" si="2"/>
        <v>-0.36338126596258652</v>
      </c>
      <c r="K4">
        <f t="shared" si="3"/>
        <v>0.36338126596258652</v>
      </c>
      <c r="L4" s="7">
        <v>32.21407</v>
      </c>
    </row>
    <row r="5" spans="1:16" x14ac:dyDescent="0.3">
      <c r="A5" s="4">
        <v>28764</v>
      </c>
      <c r="B5">
        <v>1978</v>
      </c>
      <c r="C5">
        <v>4</v>
      </c>
      <c r="D5" s="2">
        <v>5.9</v>
      </c>
      <c r="E5" s="5">
        <v>8.9887599999999992</v>
      </c>
      <c r="F5" s="5">
        <f t="shared" si="0"/>
        <v>14.88876</v>
      </c>
      <c r="G5" s="5">
        <f t="shared" si="1"/>
        <v>1.5993196305460669</v>
      </c>
      <c r="H5" s="5">
        <v>0.17959</v>
      </c>
      <c r="I5">
        <v>73.8</v>
      </c>
      <c r="J5">
        <f t="shared" si="2"/>
        <v>-0.84197697625184476</v>
      </c>
      <c r="K5">
        <f t="shared" si="3"/>
        <v>0.84197697625184476</v>
      </c>
      <c r="L5" s="7">
        <v>31.86206</v>
      </c>
    </row>
    <row r="6" spans="1:16" x14ac:dyDescent="0.3">
      <c r="A6" s="4">
        <v>28856</v>
      </c>
      <c r="B6">
        <v>1979</v>
      </c>
      <c r="C6">
        <v>1</v>
      </c>
      <c r="D6" s="2">
        <v>5.9</v>
      </c>
      <c r="E6" s="5">
        <v>10.252370000000001</v>
      </c>
      <c r="F6" s="5">
        <f t="shared" si="0"/>
        <v>16.152370000000001</v>
      </c>
      <c r="G6" s="5">
        <f t="shared" si="1"/>
        <v>1.9832084243589811</v>
      </c>
      <c r="H6" s="5">
        <v>0.10675</v>
      </c>
      <c r="I6">
        <v>71.900000000000006</v>
      </c>
      <c r="J6">
        <f t="shared" si="2"/>
        <v>-0.98864340359855218</v>
      </c>
      <c r="K6">
        <f t="shared" si="3"/>
        <v>0.98864340359855218</v>
      </c>
      <c r="L6" s="7">
        <v>31.536010000000001</v>
      </c>
    </row>
    <row r="7" spans="1:16" x14ac:dyDescent="0.3">
      <c r="A7" s="4">
        <v>28946</v>
      </c>
      <c r="B7">
        <v>1979</v>
      </c>
      <c r="C7">
        <v>2</v>
      </c>
      <c r="D7" s="2">
        <v>5.7</v>
      </c>
      <c r="E7" s="5">
        <v>11.076919999999999</v>
      </c>
      <c r="F7" s="5">
        <f t="shared" si="0"/>
        <v>16.77692</v>
      </c>
      <c r="G7" s="5">
        <f t="shared" si="1"/>
        <v>2.172948728864212</v>
      </c>
      <c r="H7" s="5">
        <v>0.74280000000000002</v>
      </c>
      <c r="I7">
        <v>66.7</v>
      </c>
      <c r="J7">
        <f t="shared" si="2"/>
        <v>-1.3900462573895429</v>
      </c>
      <c r="K7">
        <f t="shared" si="3"/>
        <v>1.3900462573895429</v>
      </c>
      <c r="L7" s="7">
        <v>31.06277</v>
      </c>
    </row>
    <row r="8" spans="1:16" x14ac:dyDescent="0.3">
      <c r="A8" s="4">
        <v>29037</v>
      </c>
      <c r="B8">
        <v>1979</v>
      </c>
      <c r="C8">
        <v>3</v>
      </c>
      <c r="D8" s="2">
        <v>5.9</v>
      </c>
      <c r="E8" s="5">
        <v>11.8797</v>
      </c>
      <c r="F8" s="5">
        <f t="shared" si="0"/>
        <v>17.779699999999998</v>
      </c>
      <c r="G8" s="5">
        <f t="shared" si="1"/>
        <v>2.4775965273619391</v>
      </c>
      <c r="H8" s="5">
        <v>0.25004999999999999</v>
      </c>
      <c r="I8">
        <v>63.7</v>
      </c>
      <c r="J8">
        <f t="shared" si="2"/>
        <v>-1.6216248268843452</v>
      </c>
      <c r="K8">
        <f t="shared" si="3"/>
        <v>1.6216248268843452</v>
      </c>
      <c r="L8" s="7">
        <v>30.984020000000001</v>
      </c>
    </row>
    <row r="9" spans="1:16" x14ac:dyDescent="0.3">
      <c r="A9" s="4">
        <v>29129</v>
      </c>
      <c r="B9">
        <v>1979</v>
      </c>
      <c r="C9">
        <v>4</v>
      </c>
      <c r="D9" s="2">
        <v>6</v>
      </c>
      <c r="E9" s="5">
        <v>13.25479</v>
      </c>
      <c r="F9" s="5">
        <f t="shared" si="0"/>
        <v>19.25479</v>
      </c>
      <c r="G9" s="5">
        <f t="shared" si="1"/>
        <v>2.9257336273100969</v>
      </c>
      <c r="H9" s="5">
        <v>0.31457000000000002</v>
      </c>
      <c r="I9">
        <v>62.3</v>
      </c>
      <c r="J9">
        <f t="shared" si="2"/>
        <v>-1.72969482598192</v>
      </c>
      <c r="K9">
        <f t="shared" si="3"/>
        <v>1.72969482598192</v>
      </c>
      <c r="L9" s="7">
        <v>31.026150000000001</v>
      </c>
    </row>
    <row r="10" spans="1:16" x14ac:dyDescent="0.3">
      <c r="A10" s="4">
        <v>29221</v>
      </c>
      <c r="B10">
        <v>1980</v>
      </c>
      <c r="C10">
        <v>1</v>
      </c>
      <c r="D10" s="2">
        <v>6.3</v>
      </c>
      <c r="E10" s="5">
        <v>14.592269999999999</v>
      </c>
      <c r="F10" s="5">
        <f t="shared" si="0"/>
        <v>20.89227</v>
      </c>
      <c r="G10" s="5">
        <f t="shared" si="1"/>
        <v>3.4232053330521928</v>
      </c>
      <c r="H10" s="5">
        <v>-2.0604300000000002</v>
      </c>
      <c r="I10">
        <v>63.9</v>
      </c>
      <c r="J10">
        <f t="shared" si="2"/>
        <v>-1.606186255584692</v>
      </c>
      <c r="K10">
        <f t="shared" si="3"/>
        <v>1.606186255584692</v>
      </c>
      <c r="L10" s="7">
        <v>30.949819999999999</v>
      </c>
    </row>
    <row r="11" spans="1:16" x14ac:dyDescent="0.3">
      <c r="A11" s="4">
        <v>29312</v>
      </c>
      <c r="B11">
        <v>1980</v>
      </c>
      <c r="C11">
        <v>2</v>
      </c>
      <c r="D11" s="2">
        <v>7.3</v>
      </c>
      <c r="E11" s="5">
        <v>14.265930000000001</v>
      </c>
      <c r="F11" s="5">
        <f t="shared" si="0"/>
        <v>21.565930000000002</v>
      </c>
      <c r="G11" s="5">
        <f t="shared" si="1"/>
        <v>3.62786541396324</v>
      </c>
      <c r="H11" s="5">
        <v>-0.11885</v>
      </c>
      <c r="I11">
        <v>54.4</v>
      </c>
      <c r="J11">
        <f t="shared" si="2"/>
        <v>-2.3395183923182326</v>
      </c>
      <c r="K11">
        <f t="shared" si="3"/>
        <v>2.3395183923182326</v>
      </c>
      <c r="L11" s="7">
        <v>31.37303</v>
      </c>
    </row>
    <row r="12" spans="1:16" x14ac:dyDescent="0.3">
      <c r="A12" s="4">
        <v>29403</v>
      </c>
      <c r="B12">
        <v>1980</v>
      </c>
      <c r="C12">
        <v>3</v>
      </c>
      <c r="D12" s="2">
        <v>7.7</v>
      </c>
      <c r="E12" s="5">
        <v>12.76882</v>
      </c>
      <c r="F12" s="5">
        <f t="shared" si="0"/>
        <v>20.468820000000001</v>
      </c>
      <c r="G12" s="5">
        <f t="shared" si="1"/>
        <v>3.2945598572011963</v>
      </c>
      <c r="H12" s="5">
        <v>1.8649199999999999</v>
      </c>
      <c r="I12">
        <v>67.8</v>
      </c>
      <c r="J12">
        <f t="shared" si="2"/>
        <v>-1.3051341152414493</v>
      </c>
      <c r="K12">
        <f t="shared" si="3"/>
        <v>1.3051341152414493</v>
      </c>
      <c r="L12" s="7">
        <v>31.776869999999999</v>
      </c>
    </row>
    <row r="13" spans="1:16" x14ac:dyDescent="0.3">
      <c r="A13" s="4">
        <v>29495</v>
      </c>
      <c r="B13">
        <v>1980</v>
      </c>
      <c r="C13">
        <v>4</v>
      </c>
      <c r="D13" s="2">
        <v>7.4</v>
      </c>
      <c r="E13" s="5">
        <v>12.35371</v>
      </c>
      <c r="F13" s="5">
        <f t="shared" si="0"/>
        <v>19.753709999999998</v>
      </c>
      <c r="G13" s="5">
        <f t="shared" si="1"/>
        <v>3.077307132591899</v>
      </c>
      <c r="H13" s="5">
        <v>1.9594199999999999</v>
      </c>
      <c r="I13">
        <v>72</v>
      </c>
      <c r="J13">
        <f t="shared" si="2"/>
        <v>-0.9809241179487258</v>
      </c>
      <c r="K13">
        <f t="shared" si="3"/>
        <v>0.9809241179487258</v>
      </c>
      <c r="L13" s="7">
        <v>31.157</v>
      </c>
    </row>
    <row r="14" spans="1:16" x14ac:dyDescent="0.3">
      <c r="A14" s="4">
        <v>29587</v>
      </c>
      <c r="B14">
        <v>1981</v>
      </c>
      <c r="C14">
        <v>1</v>
      </c>
      <c r="D14" s="2">
        <v>7.4</v>
      </c>
      <c r="E14" s="5">
        <v>10.611739999999999</v>
      </c>
      <c r="F14" s="5">
        <f t="shared" si="0"/>
        <v>18.01174</v>
      </c>
      <c r="G14" s="5">
        <f t="shared" si="1"/>
        <v>2.5480910278140954</v>
      </c>
      <c r="H14" s="5">
        <v>-0.74107999999999996</v>
      </c>
      <c r="I14">
        <v>68.3</v>
      </c>
      <c r="J14">
        <f t="shared" si="2"/>
        <v>-1.2665376869923155</v>
      </c>
      <c r="K14">
        <f t="shared" si="3"/>
        <v>1.2665376869923155</v>
      </c>
      <c r="L14" s="7">
        <v>30.87284</v>
      </c>
    </row>
    <row r="15" spans="1:16" x14ac:dyDescent="0.3">
      <c r="A15" s="4">
        <v>29677</v>
      </c>
      <c r="B15">
        <v>1981</v>
      </c>
      <c r="C15">
        <v>2</v>
      </c>
      <c r="D15" s="2">
        <v>7.4</v>
      </c>
      <c r="E15" s="5">
        <v>9.6969700000000003</v>
      </c>
      <c r="F15" s="5">
        <f t="shared" si="0"/>
        <v>17.096969999999999</v>
      </c>
      <c r="G15" s="5">
        <f t="shared" si="1"/>
        <v>2.270180951195329</v>
      </c>
      <c r="H15" s="5">
        <v>1.1975</v>
      </c>
      <c r="I15">
        <v>73.900000000000006</v>
      </c>
      <c r="J15">
        <f t="shared" si="2"/>
        <v>-0.83425769060201727</v>
      </c>
      <c r="K15">
        <f t="shared" si="3"/>
        <v>0.83425769060201727</v>
      </c>
      <c r="L15" s="7">
        <v>30.708749999999998</v>
      </c>
    </row>
    <row r="16" spans="1:16" x14ac:dyDescent="0.3">
      <c r="A16" s="4">
        <v>29768</v>
      </c>
      <c r="B16">
        <v>1981</v>
      </c>
      <c r="C16">
        <v>3</v>
      </c>
      <c r="D16" s="2">
        <v>7.4</v>
      </c>
      <c r="E16" s="5">
        <v>10.965439999999999</v>
      </c>
      <c r="F16" s="5">
        <f t="shared" si="0"/>
        <v>18.36544</v>
      </c>
      <c r="G16" s="5">
        <f t="shared" si="1"/>
        <v>2.6555462286843223</v>
      </c>
      <c r="H16" s="5">
        <v>-1.0895999999999999</v>
      </c>
      <c r="I16">
        <v>74.8</v>
      </c>
      <c r="J16">
        <f t="shared" si="2"/>
        <v>-0.7647841197535773</v>
      </c>
      <c r="K16">
        <f t="shared" si="3"/>
        <v>0.7647841197535773</v>
      </c>
      <c r="L16" s="7">
        <v>30.60333</v>
      </c>
    </row>
    <row r="17" spans="1:12" x14ac:dyDescent="0.3">
      <c r="A17" s="4">
        <v>29860</v>
      </c>
      <c r="B17">
        <v>1981</v>
      </c>
      <c r="C17">
        <v>4</v>
      </c>
      <c r="D17" s="2">
        <v>8.1999999999999993</v>
      </c>
      <c r="E17" s="5">
        <v>8.9120399999999993</v>
      </c>
      <c r="F17" s="5">
        <f t="shared" si="0"/>
        <v>17.11204</v>
      </c>
      <c r="G17" s="5">
        <f t="shared" si="1"/>
        <v>2.2747592658040778</v>
      </c>
      <c r="H17" s="5">
        <v>-1.5536399999999999</v>
      </c>
      <c r="I17">
        <v>65.7</v>
      </c>
      <c r="J17">
        <f t="shared" si="2"/>
        <v>-1.4672391138878103</v>
      </c>
      <c r="K17">
        <f t="shared" si="3"/>
        <v>1.4672391138878103</v>
      </c>
      <c r="L17" s="7">
        <v>31.355869999999999</v>
      </c>
    </row>
    <row r="18" spans="1:12" x14ac:dyDescent="0.3">
      <c r="A18" s="4">
        <v>29952</v>
      </c>
      <c r="B18">
        <v>1982</v>
      </c>
      <c r="C18">
        <v>1</v>
      </c>
      <c r="D18" s="2">
        <v>8.8000000000000007</v>
      </c>
      <c r="E18" s="5">
        <v>6.8848799999999999</v>
      </c>
      <c r="F18" s="5">
        <f t="shared" si="0"/>
        <v>15.68488</v>
      </c>
      <c r="G18" s="5">
        <f t="shared" si="1"/>
        <v>1.8411834544556094</v>
      </c>
      <c r="H18" s="5">
        <v>0.45617999999999997</v>
      </c>
      <c r="I18">
        <v>66.599999999999994</v>
      </c>
      <c r="J18">
        <f t="shared" si="2"/>
        <v>-1.3977655430393703</v>
      </c>
      <c r="K18">
        <f t="shared" si="3"/>
        <v>1.3977655430393703</v>
      </c>
      <c r="L18" s="7">
        <v>32.412979999999997</v>
      </c>
    </row>
    <row r="19" spans="1:12" x14ac:dyDescent="0.3">
      <c r="A19" s="4">
        <v>30042</v>
      </c>
      <c r="B19">
        <v>1982</v>
      </c>
      <c r="C19">
        <v>2</v>
      </c>
      <c r="D19" s="2">
        <v>9.4</v>
      </c>
      <c r="E19" s="5">
        <v>7.1823199999999998</v>
      </c>
      <c r="F19" s="5">
        <f t="shared" si="0"/>
        <v>16.582319999999999</v>
      </c>
      <c r="G19" s="5">
        <f t="shared" si="1"/>
        <v>2.1138286211759274</v>
      </c>
      <c r="H19" s="5">
        <v>-0.38227</v>
      </c>
      <c r="I19">
        <v>66.2</v>
      </c>
      <c r="J19">
        <f t="shared" si="2"/>
        <v>-1.4286426856386767</v>
      </c>
      <c r="K19">
        <f t="shared" si="3"/>
        <v>1.4286426856386767</v>
      </c>
      <c r="L19" s="7">
        <v>32.40213</v>
      </c>
    </row>
    <row r="20" spans="1:12" x14ac:dyDescent="0.3">
      <c r="A20" s="4">
        <v>30133</v>
      </c>
      <c r="B20">
        <v>1982</v>
      </c>
      <c r="C20">
        <v>3</v>
      </c>
      <c r="D20" s="2">
        <v>9.9</v>
      </c>
      <c r="E20" s="5">
        <v>4.9409200000000002</v>
      </c>
      <c r="F20" s="5">
        <f t="shared" si="0"/>
        <v>14.840920000000001</v>
      </c>
      <c r="G20" s="5">
        <f t="shared" si="1"/>
        <v>1.5847856842366761</v>
      </c>
      <c r="H20" s="5">
        <v>4.0009999999999997E-2</v>
      </c>
      <c r="I20">
        <v>66.7</v>
      </c>
      <c r="J20">
        <f t="shared" si="2"/>
        <v>-1.3900462573895429</v>
      </c>
      <c r="K20">
        <f t="shared" si="3"/>
        <v>1.3900462573895429</v>
      </c>
      <c r="L20" s="7">
        <v>33.9253</v>
      </c>
    </row>
    <row r="21" spans="1:12" x14ac:dyDescent="0.3">
      <c r="A21" s="4">
        <v>30225</v>
      </c>
      <c r="B21">
        <v>1982</v>
      </c>
      <c r="C21">
        <v>4</v>
      </c>
      <c r="D21" s="2">
        <v>10.7</v>
      </c>
      <c r="E21" s="5">
        <v>3.82572</v>
      </c>
      <c r="F21" s="5">
        <f t="shared" si="0"/>
        <v>14.52572</v>
      </c>
      <c r="G21" s="5">
        <f t="shared" si="1"/>
        <v>1.4890269075493827</v>
      </c>
      <c r="H21" s="5">
        <v>1.31779</v>
      </c>
      <c r="I21">
        <v>72.5</v>
      </c>
      <c r="J21">
        <f t="shared" si="2"/>
        <v>-0.94232768969959213</v>
      </c>
      <c r="K21">
        <f t="shared" si="3"/>
        <v>0.94232768969959213</v>
      </c>
      <c r="L21" s="7">
        <v>35.181559999999998</v>
      </c>
    </row>
    <row r="22" spans="1:12" x14ac:dyDescent="0.3">
      <c r="A22" s="4">
        <v>30317</v>
      </c>
      <c r="B22">
        <v>1983</v>
      </c>
      <c r="C22">
        <v>1</v>
      </c>
      <c r="D22" s="2">
        <v>10.4</v>
      </c>
      <c r="E22" s="5">
        <v>3.59029</v>
      </c>
      <c r="F22" s="5">
        <f t="shared" si="0"/>
        <v>13.99029</v>
      </c>
      <c r="G22" s="5">
        <f t="shared" si="1"/>
        <v>1.3263615465034522</v>
      </c>
      <c r="H22" s="5">
        <v>2.2755200000000002</v>
      </c>
      <c r="I22">
        <v>75</v>
      </c>
      <c r="J22">
        <f t="shared" si="2"/>
        <v>-0.74934554845392354</v>
      </c>
      <c r="K22">
        <f t="shared" si="3"/>
        <v>0.74934554845392354</v>
      </c>
      <c r="L22" s="7">
        <v>35.82911</v>
      </c>
    </row>
    <row r="23" spans="1:12" x14ac:dyDescent="0.3">
      <c r="A23" s="4">
        <v>30407</v>
      </c>
      <c r="B23">
        <v>1983</v>
      </c>
      <c r="C23">
        <v>2</v>
      </c>
      <c r="D23" s="2">
        <v>10.1</v>
      </c>
      <c r="E23" s="5">
        <v>2.4742299999999999</v>
      </c>
      <c r="F23" s="5">
        <f t="shared" si="0"/>
        <v>12.57423</v>
      </c>
      <c r="G23" s="5">
        <f t="shared" si="1"/>
        <v>0.89615795095837525</v>
      </c>
      <c r="H23" s="5">
        <v>1.99895</v>
      </c>
      <c r="I23">
        <v>91.5</v>
      </c>
      <c r="J23">
        <f t="shared" si="2"/>
        <v>0.52433658376748882</v>
      </c>
      <c r="K23">
        <f t="shared" si="3"/>
        <v>-0.52433658376748882</v>
      </c>
      <c r="L23" s="7">
        <v>36.871670000000002</v>
      </c>
    </row>
    <row r="24" spans="1:12" x14ac:dyDescent="0.3">
      <c r="A24" s="4">
        <v>30498</v>
      </c>
      <c r="B24">
        <v>1983</v>
      </c>
      <c r="C24">
        <v>3</v>
      </c>
      <c r="D24" s="2">
        <v>9.4</v>
      </c>
      <c r="E24" s="5">
        <v>2.76356</v>
      </c>
      <c r="F24" s="5">
        <f t="shared" si="0"/>
        <v>12.16356</v>
      </c>
      <c r="G24" s="5">
        <f t="shared" si="1"/>
        <v>0.77139508032966142</v>
      </c>
      <c r="H24" s="5">
        <v>2.0861800000000001</v>
      </c>
      <c r="I24">
        <v>91.2</v>
      </c>
      <c r="J24">
        <f t="shared" si="2"/>
        <v>0.50117872681800879</v>
      </c>
      <c r="K24">
        <f t="shared" si="3"/>
        <v>-0.50117872681800879</v>
      </c>
      <c r="L24" s="7">
        <v>37.331099999999999</v>
      </c>
    </row>
    <row r="25" spans="1:12" x14ac:dyDescent="0.3">
      <c r="A25" s="4">
        <v>30590</v>
      </c>
      <c r="B25">
        <v>1983</v>
      </c>
      <c r="C25">
        <v>4</v>
      </c>
      <c r="D25" s="2">
        <v>8.5</v>
      </c>
      <c r="E25" s="5">
        <v>3.7871000000000001</v>
      </c>
      <c r="F25" s="5">
        <f t="shared" si="0"/>
        <v>12.287100000000001</v>
      </c>
      <c r="G25" s="5">
        <f t="shared" si="1"/>
        <v>0.80892693081173062</v>
      </c>
      <c r="H25" s="5">
        <v>1.95479</v>
      </c>
      <c r="I25">
        <v>91.6</v>
      </c>
      <c r="J25">
        <f t="shared" si="2"/>
        <v>0.53205586941731509</v>
      </c>
      <c r="K25">
        <f t="shared" si="3"/>
        <v>-0.53205586941731509</v>
      </c>
      <c r="L25" s="7">
        <v>37.175530000000002</v>
      </c>
    </row>
    <row r="26" spans="1:12" x14ac:dyDescent="0.3">
      <c r="A26" s="4">
        <v>30682</v>
      </c>
      <c r="B26">
        <v>1984</v>
      </c>
      <c r="C26">
        <v>1</v>
      </c>
      <c r="D26" s="2">
        <v>7.9</v>
      </c>
      <c r="E26" s="5">
        <v>4.89297</v>
      </c>
      <c r="F26" s="5">
        <f t="shared" si="0"/>
        <v>12.79297</v>
      </c>
      <c r="G26" s="5">
        <f t="shared" si="1"/>
        <v>0.96261186851097214</v>
      </c>
      <c r="H26" s="5">
        <v>1.72776</v>
      </c>
      <c r="I26">
        <v>99.5</v>
      </c>
      <c r="J26">
        <f t="shared" si="2"/>
        <v>1.1418794357536282</v>
      </c>
      <c r="K26">
        <f t="shared" si="3"/>
        <v>-1.1418794357536282</v>
      </c>
      <c r="L26" s="7">
        <v>37.454470000000001</v>
      </c>
    </row>
    <row r="27" spans="1:12" x14ac:dyDescent="0.3">
      <c r="A27" s="4">
        <v>30773</v>
      </c>
      <c r="B27">
        <v>1984</v>
      </c>
      <c r="C27">
        <v>2</v>
      </c>
      <c r="D27" s="2">
        <v>7.4</v>
      </c>
      <c r="E27" s="5">
        <v>4.3259600000000002</v>
      </c>
      <c r="F27" s="5">
        <f t="shared" si="0"/>
        <v>11.725960000000001</v>
      </c>
      <c r="G27" s="5">
        <f t="shared" si="1"/>
        <v>0.63845078883740436</v>
      </c>
      <c r="H27" s="5">
        <v>0.96401000000000003</v>
      </c>
      <c r="I27">
        <v>96.6</v>
      </c>
      <c r="J27">
        <f t="shared" si="2"/>
        <v>0.91802015190865216</v>
      </c>
      <c r="K27">
        <f t="shared" si="3"/>
        <v>-0.91802015190865216</v>
      </c>
      <c r="L27" s="7">
        <v>37.726869999999998</v>
      </c>
    </row>
    <row r="28" spans="1:12" x14ac:dyDescent="0.3">
      <c r="A28" s="4">
        <v>30864</v>
      </c>
      <c r="B28">
        <v>1984</v>
      </c>
      <c r="C28">
        <v>3</v>
      </c>
      <c r="D28" s="2">
        <v>7.4</v>
      </c>
      <c r="E28" s="5">
        <v>4.28287</v>
      </c>
      <c r="F28" s="5">
        <f t="shared" si="0"/>
        <v>11.682870000000001</v>
      </c>
      <c r="G28" s="5">
        <f t="shared" si="1"/>
        <v>0.62535990784928441</v>
      </c>
      <c r="H28" s="5">
        <v>0.82077</v>
      </c>
      <c r="I28">
        <v>98.9</v>
      </c>
      <c r="J28">
        <f t="shared" si="2"/>
        <v>1.0955637218546681</v>
      </c>
      <c r="K28">
        <f t="shared" si="3"/>
        <v>-1.0955637218546681</v>
      </c>
      <c r="L28" s="7">
        <v>38.49586</v>
      </c>
    </row>
    <row r="29" spans="1:12" x14ac:dyDescent="0.3">
      <c r="A29" s="4">
        <v>30956</v>
      </c>
      <c r="B29">
        <v>1984</v>
      </c>
      <c r="C29">
        <v>4</v>
      </c>
      <c r="D29" s="2">
        <v>7.3</v>
      </c>
      <c r="E29" s="5">
        <v>4.0433899999999996</v>
      </c>
      <c r="F29" s="5">
        <f t="shared" si="0"/>
        <v>11.343389999999999</v>
      </c>
      <c r="G29" s="5">
        <f t="shared" si="1"/>
        <v>0.52222478884610413</v>
      </c>
      <c r="H29" s="5">
        <v>0.96897999999999995</v>
      </c>
      <c r="I29">
        <v>95</v>
      </c>
      <c r="J29">
        <f t="shared" si="2"/>
        <v>0.79451158151142476</v>
      </c>
      <c r="K29">
        <f t="shared" si="3"/>
        <v>-0.79451158151142476</v>
      </c>
      <c r="L29" s="7">
        <v>40.085470000000001</v>
      </c>
    </row>
    <row r="30" spans="1:12" x14ac:dyDescent="0.3">
      <c r="A30" s="4">
        <v>31048</v>
      </c>
      <c r="B30">
        <v>1985</v>
      </c>
      <c r="C30">
        <v>1</v>
      </c>
      <c r="D30" s="2">
        <v>7.2</v>
      </c>
      <c r="E30" s="5">
        <v>3.7900900000000002</v>
      </c>
      <c r="F30" s="5">
        <f t="shared" si="0"/>
        <v>10.99009</v>
      </c>
      <c r="G30" s="5">
        <f t="shared" si="1"/>
        <v>0.41489110926608963</v>
      </c>
      <c r="H30" s="5">
        <v>0.88046999999999997</v>
      </c>
      <c r="I30">
        <v>94.5</v>
      </c>
      <c r="J30">
        <f t="shared" si="2"/>
        <v>0.75591515326229108</v>
      </c>
      <c r="K30">
        <f t="shared" si="3"/>
        <v>-0.75591515326229108</v>
      </c>
      <c r="L30" s="7">
        <v>40.441209999999998</v>
      </c>
    </row>
    <row r="31" spans="1:12" x14ac:dyDescent="0.3">
      <c r="A31" s="4">
        <v>31138</v>
      </c>
      <c r="B31">
        <v>1985</v>
      </c>
      <c r="C31">
        <v>2</v>
      </c>
      <c r="D31" s="2">
        <v>7.3</v>
      </c>
      <c r="E31" s="5">
        <v>3.6644199999999998</v>
      </c>
      <c r="F31" s="5">
        <f t="shared" si="0"/>
        <v>10.96442</v>
      </c>
      <c r="G31" s="5">
        <f t="shared" si="1"/>
        <v>0.40709248046671531</v>
      </c>
      <c r="H31" s="5">
        <v>1.5272699999999999</v>
      </c>
      <c r="I31">
        <v>94.3</v>
      </c>
      <c r="J31">
        <f t="shared" si="2"/>
        <v>0.74047658196263733</v>
      </c>
      <c r="K31">
        <f t="shared" si="3"/>
        <v>-0.74047658196263733</v>
      </c>
      <c r="L31" s="7">
        <v>41.319830000000003</v>
      </c>
    </row>
    <row r="32" spans="1:12" x14ac:dyDescent="0.3">
      <c r="A32" s="4">
        <v>31229</v>
      </c>
      <c r="B32">
        <v>1985</v>
      </c>
      <c r="C32">
        <v>3</v>
      </c>
      <c r="D32" s="2">
        <v>7.2</v>
      </c>
      <c r="E32" s="5">
        <v>3.2473700000000001</v>
      </c>
      <c r="F32" s="5">
        <f t="shared" si="0"/>
        <v>10.447369999999999</v>
      </c>
      <c r="G32" s="5">
        <f t="shared" si="1"/>
        <v>0.25001102270603953</v>
      </c>
      <c r="H32" s="5">
        <v>0.74345000000000006</v>
      </c>
      <c r="I32">
        <v>92.8</v>
      </c>
      <c r="J32">
        <f t="shared" si="2"/>
        <v>0.62468729721523619</v>
      </c>
      <c r="K32">
        <f t="shared" si="3"/>
        <v>-0.62468729721523619</v>
      </c>
      <c r="L32" s="7">
        <v>41.559089999999998</v>
      </c>
    </row>
    <row r="33" spans="1:12" x14ac:dyDescent="0.3">
      <c r="A33" s="4">
        <v>31321</v>
      </c>
      <c r="B33">
        <v>1985</v>
      </c>
      <c r="C33">
        <v>4</v>
      </c>
      <c r="D33" s="2">
        <v>7</v>
      </c>
      <c r="E33" s="5">
        <v>3.7914699999999999</v>
      </c>
      <c r="F33" s="5">
        <f t="shared" si="0"/>
        <v>10.79147</v>
      </c>
      <c r="G33" s="5">
        <f t="shared" si="1"/>
        <v>0.35454971261117163</v>
      </c>
      <c r="H33" s="5">
        <v>0.93374999999999997</v>
      </c>
      <c r="I33">
        <v>91</v>
      </c>
      <c r="J33">
        <f t="shared" si="2"/>
        <v>0.48574015551835509</v>
      </c>
      <c r="K33">
        <f t="shared" si="3"/>
        <v>-0.48574015551835509</v>
      </c>
      <c r="L33" s="7">
        <v>43.787149999999997</v>
      </c>
    </row>
    <row r="34" spans="1:12" x14ac:dyDescent="0.3">
      <c r="A34" s="4">
        <v>31413</v>
      </c>
      <c r="B34">
        <v>1986</v>
      </c>
      <c r="C34">
        <v>1</v>
      </c>
      <c r="D34" s="2">
        <v>7</v>
      </c>
      <c r="E34" s="5">
        <v>2.1535600000000001</v>
      </c>
      <c r="F34" s="5">
        <f t="shared" si="0"/>
        <v>9.1535600000000006</v>
      </c>
      <c r="G34" s="5">
        <f t="shared" si="1"/>
        <v>-0.14305262851790251</v>
      </c>
      <c r="H34" s="5">
        <v>0.45029999999999998</v>
      </c>
      <c r="I34">
        <v>95.5</v>
      </c>
      <c r="J34">
        <f t="shared" si="2"/>
        <v>0.83310800976055843</v>
      </c>
      <c r="K34">
        <f t="shared" si="3"/>
        <v>-0.83310800976055843</v>
      </c>
      <c r="L34" s="7">
        <v>44.074150000000003</v>
      </c>
    </row>
    <row r="35" spans="1:12" x14ac:dyDescent="0.3">
      <c r="A35" s="4">
        <v>31503</v>
      </c>
      <c r="B35">
        <v>1986</v>
      </c>
      <c r="C35">
        <v>2</v>
      </c>
      <c r="D35" s="2">
        <v>7.2</v>
      </c>
      <c r="E35" s="5">
        <v>1.7674399999999999</v>
      </c>
      <c r="F35" s="5">
        <f t="shared" si="0"/>
        <v>8.9674399999999999</v>
      </c>
      <c r="G35" s="5">
        <f t="shared" si="1"/>
        <v>-0.19959648485368633</v>
      </c>
      <c r="H35" s="5">
        <v>0.95667000000000002</v>
      </c>
      <c r="I35">
        <v>96.8</v>
      </c>
      <c r="J35">
        <f t="shared" si="2"/>
        <v>0.93345872320830592</v>
      </c>
      <c r="K35">
        <f t="shared" si="3"/>
        <v>-0.93345872320830592</v>
      </c>
      <c r="L35" s="7">
        <v>45.306820000000002</v>
      </c>
    </row>
    <row r="36" spans="1:12" x14ac:dyDescent="0.3">
      <c r="A36" s="4">
        <v>31594</v>
      </c>
      <c r="B36">
        <v>1986</v>
      </c>
      <c r="C36">
        <v>3</v>
      </c>
      <c r="D36" s="2">
        <v>7</v>
      </c>
      <c r="E36" s="5">
        <v>1.75763</v>
      </c>
      <c r="F36" s="5">
        <f t="shared" si="0"/>
        <v>8.7576300000000007</v>
      </c>
      <c r="G36" s="5">
        <f t="shared" si="1"/>
        <v>-0.26333743960229317</v>
      </c>
      <c r="H36" s="5">
        <v>0.53639000000000003</v>
      </c>
      <c r="I36">
        <v>94.9</v>
      </c>
      <c r="J36">
        <f t="shared" si="2"/>
        <v>0.78679229586159849</v>
      </c>
      <c r="K36">
        <f t="shared" si="3"/>
        <v>-0.78679229586159849</v>
      </c>
      <c r="L36" s="7">
        <v>46.125360000000001</v>
      </c>
    </row>
    <row r="37" spans="1:12" x14ac:dyDescent="0.3">
      <c r="A37" s="4">
        <v>31686</v>
      </c>
      <c r="B37">
        <v>1986</v>
      </c>
      <c r="C37">
        <v>4</v>
      </c>
      <c r="D37" s="2">
        <v>6.8</v>
      </c>
      <c r="E37" s="5">
        <v>1.1872100000000001</v>
      </c>
      <c r="F37" s="5">
        <f t="shared" si="0"/>
        <v>7.9872100000000001</v>
      </c>
      <c r="G37" s="5">
        <f t="shared" si="1"/>
        <v>-0.49739352061569542</v>
      </c>
      <c r="H37" s="5">
        <v>0.74184000000000005</v>
      </c>
      <c r="I37">
        <v>92</v>
      </c>
      <c r="J37">
        <f t="shared" si="2"/>
        <v>0.56293301201662249</v>
      </c>
      <c r="K37">
        <f t="shared" si="3"/>
        <v>-0.56293301201662249</v>
      </c>
      <c r="L37" s="7">
        <v>47.552860000000003</v>
      </c>
    </row>
    <row r="38" spans="1:12" x14ac:dyDescent="0.3">
      <c r="A38" s="4">
        <v>31778</v>
      </c>
      <c r="B38">
        <v>1987</v>
      </c>
      <c r="C38">
        <v>1</v>
      </c>
      <c r="D38" s="2">
        <v>6.6</v>
      </c>
      <c r="E38" s="5">
        <v>2.8414299999999999</v>
      </c>
      <c r="F38" s="5">
        <f t="shared" si="0"/>
        <v>9.4414300000000004</v>
      </c>
      <c r="G38" s="5">
        <f t="shared" si="1"/>
        <v>-5.5596793984364949E-2</v>
      </c>
      <c r="H38" s="5">
        <v>1.0781799999999999</v>
      </c>
      <c r="I38">
        <v>90.5</v>
      </c>
      <c r="J38">
        <f t="shared" si="2"/>
        <v>0.44714372726922141</v>
      </c>
      <c r="K38">
        <f t="shared" si="3"/>
        <v>-0.44714372726922141</v>
      </c>
      <c r="L38" s="7">
        <v>47.57835</v>
      </c>
    </row>
    <row r="39" spans="1:12" x14ac:dyDescent="0.3">
      <c r="A39" s="4">
        <v>31868</v>
      </c>
      <c r="B39">
        <v>1987</v>
      </c>
      <c r="C39">
        <v>2</v>
      </c>
      <c r="D39" s="2">
        <v>6.3</v>
      </c>
      <c r="E39" s="5">
        <v>3.7477100000000001</v>
      </c>
      <c r="F39" s="5">
        <f t="shared" si="0"/>
        <v>10.04771</v>
      </c>
      <c r="G39" s="5">
        <f t="shared" si="1"/>
        <v>0.12859302559041944</v>
      </c>
      <c r="H39" s="5">
        <v>0.86717999999999995</v>
      </c>
      <c r="I39">
        <v>91.8</v>
      </c>
      <c r="J39">
        <f t="shared" si="2"/>
        <v>0.54749444071696884</v>
      </c>
      <c r="K39">
        <f t="shared" si="3"/>
        <v>-0.54749444071696884</v>
      </c>
      <c r="L39" s="7">
        <v>48.048670000000001</v>
      </c>
    </row>
    <row r="40" spans="1:12" x14ac:dyDescent="0.3">
      <c r="A40" s="4">
        <v>31959</v>
      </c>
      <c r="B40">
        <v>1987</v>
      </c>
      <c r="C40">
        <v>3</v>
      </c>
      <c r="D40" s="2">
        <v>6</v>
      </c>
      <c r="E40" s="5">
        <v>4.2727300000000001</v>
      </c>
      <c r="F40" s="5">
        <f t="shared" si="0"/>
        <v>10.272729999999999</v>
      </c>
      <c r="G40" s="5">
        <f t="shared" si="1"/>
        <v>0.19695482739934894</v>
      </c>
      <c r="H40" s="5">
        <v>1.71696</v>
      </c>
      <c r="I40">
        <v>93.9</v>
      </c>
      <c r="J40">
        <f t="shared" si="2"/>
        <v>0.70959943936333103</v>
      </c>
      <c r="K40">
        <f t="shared" si="3"/>
        <v>-0.70959943936333103</v>
      </c>
      <c r="L40" s="7">
        <v>48.116500000000002</v>
      </c>
    </row>
    <row r="41" spans="1:12" x14ac:dyDescent="0.3">
      <c r="A41" s="4">
        <v>32051</v>
      </c>
      <c r="B41">
        <v>1987</v>
      </c>
      <c r="C41">
        <v>4</v>
      </c>
      <c r="D41" s="2">
        <v>5.8</v>
      </c>
      <c r="E41" s="5">
        <v>4.3321300000000003</v>
      </c>
      <c r="F41" s="5">
        <f t="shared" si="0"/>
        <v>10.13213</v>
      </c>
      <c r="G41" s="5">
        <f t="shared" si="1"/>
        <v>0.15424009388972545</v>
      </c>
      <c r="H41" s="5">
        <v>0.51688000000000001</v>
      </c>
      <c r="I41">
        <v>86.4</v>
      </c>
      <c r="J41">
        <f t="shared" si="2"/>
        <v>0.13065301562632542</v>
      </c>
      <c r="K41">
        <f t="shared" si="3"/>
        <v>-0.13065301562632542</v>
      </c>
      <c r="L41" s="7">
        <v>48.556669999999997</v>
      </c>
    </row>
    <row r="42" spans="1:12" x14ac:dyDescent="0.3">
      <c r="A42" s="4">
        <v>32143</v>
      </c>
      <c r="B42">
        <v>1988</v>
      </c>
      <c r="C42">
        <v>1</v>
      </c>
      <c r="D42" s="2">
        <v>5.7</v>
      </c>
      <c r="E42" s="5">
        <v>3.8324400000000001</v>
      </c>
      <c r="F42" s="5">
        <f t="shared" si="0"/>
        <v>9.5324400000000011</v>
      </c>
      <c r="G42" s="5">
        <f t="shared" si="1"/>
        <v>-2.7947662428810985E-2</v>
      </c>
      <c r="H42" s="5">
        <v>1.31403</v>
      </c>
      <c r="I42">
        <v>92.3</v>
      </c>
      <c r="J42">
        <f t="shared" si="2"/>
        <v>0.58609086896610252</v>
      </c>
      <c r="K42">
        <f t="shared" si="3"/>
        <v>-0.58609086896610252</v>
      </c>
      <c r="L42" s="7">
        <v>49.031509999999997</v>
      </c>
    </row>
    <row r="43" spans="1:12" x14ac:dyDescent="0.3">
      <c r="A43" s="4">
        <v>32234</v>
      </c>
      <c r="B43">
        <v>1988</v>
      </c>
      <c r="C43">
        <v>2</v>
      </c>
      <c r="D43" s="2">
        <v>5.5</v>
      </c>
      <c r="E43" s="5">
        <v>3.9647600000000001</v>
      </c>
      <c r="F43" s="5">
        <f t="shared" si="0"/>
        <v>9.4647600000000001</v>
      </c>
      <c r="G43" s="5">
        <f t="shared" si="1"/>
        <v>-4.8509064732732615E-2</v>
      </c>
      <c r="H43" s="5">
        <v>0.58596999999999999</v>
      </c>
      <c r="I43">
        <v>93.5</v>
      </c>
      <c r="J43">
        <f t="shared" si="2"/>
        <v>0.67872229676402362</v>
      </c>
      <c r="K43">
        <f t="shared" si="3"/>
        <v>-0.67872229676402362</v>
      </c>
      <c r="L43" s="7">
        <v>49.087440000000001</v>
      </c>
    </row>
    <row r="44" spans="1:12" x14ac:dyDescent="0.3">
      <c r="A44" s="4">
        <v>32325</v>
      </c>
      <c r="B44">
        <v>1988</v>
      </c>
      <c r="C44">
        <v>3</v>
      </c>
      <c r="D44" s="2">
        <v>5.5</v>
      </c>
      <c r="E44" s="5">
        <v>4.1848299999999998</v>
      </c>
      <c r="F44" s="5">
        <f t="shared" si="0"/>
        <v>9.6848299999999998</v>
      </c>
      <c r="G44" s="5">
        <f t="shared" si="1"/>
        <v>1.8348911109819937E-2</v>
      </c>
      <c r="H44" s="5">
        <v>1.33246</v>
      </c>
      <c r="I44">
        <v>96</v>
      </c>
      <c r="J44">
        <f t="shared" si="2"/>
        <v>0.87170443800969222</v>
      </c>
      <c r="K44">
        <f t="shared" si="3"/>
        <v>-0.87170443800969222</v>
      </c>
      <c r="L44" s="7">
        <v>49.25732</v>
      </c>
    </row>
    <row r="45" spans="1:12" x14ac:dyDescent="0.3">
      <c r="A45" s="4">
        <v>32417</v>
      </c>
      <c r="B45">
        <v>1988</v>
      </c>
      <c r="C45">
        <v>4</v>
      </c>
      <c r="D45" s="2">
        <v>5.3</v>
      </c>
      <c r="E45" s="5">
        <v>4.4117600000000001</v>
      </c>
      <c r="F45" s="5">
        <f t="shared" si="0"/>
        <v>9.7117599999999999</v>
      </c>
      <c r="G45" s="5">
        <f t="shared" si="1"/>
        <v>2.653033197336313E-2</v>
      </c>
      <c r="H45" s="5">
        <v>1.0163899999999999</v>
      </c>
      <c r="I45">
        <v>93</v>
      </c>
      <c r="J45">
        <f t="shared" si="2"/>
        <v>0.64012586851488995</v>
      </c>
      <c r="K45">
        <f t="shared" si="3"/>
        <v>-0.64012586851488995</v>
      </c>
      <c r="L45" s="7">
        <v>49.715479999999999</v>
      </c>
    </row>
    <row r="46" spans="1:12" x14ac:dyDescent="0.3">
      <c r="A46" s="4">
        <v>32509</v>
      </c>
      <c r="B46">
        <v>1989</v>
      </c>
      <c r="C46">
        <v>1</v>
      </c>
      <c r="D46" s="2">
        <v>5.2</v>
      </c>
      <c r="E46" s="5">
        <v>4.8926999999999996</v>
      </c>
      <c r="F46" s="5">
        <f t="shared" si="0"/>
        <v>10.092700000000001</v>
      </c>
      <c r="G46" s="5">
        <f t="shared" si="1"/>
        <v>0.14226113270704807</v>
      </c>
      <c r="H46" s="5">
        <v>0.7631</v>
      </c>
      <c r="I46">
        <v>95.9</v>
      </c>
      <c r="J46">
        <f t="shared" si="2"/>
        <v>0.86398515235986584</v>
      </c>
      <c r="K46">
        <f t="shared" si="3"/>
        <v>-0.86398515235986584</v>
      </c>
      <c r="L46" s="7">
        <v>49.732759999999999</v>
      </c>
    </row>
    <row r="47" spans="1:12" x14ac:dyDescent="0.3">
      <c r="A47" s="4">
        <v>32599</v>
      </c>
      <c r="B47">
        <v>1989</v>
      </c>
      <c r="C47">
        <v>2</v>
      </c>
      <c r="D47" s="2">
        <v>5.2</v>
      </c>
      <c r="E47" s="5">
        <v>5.1694899999999997</v>
      </c>
      <c r="F47" s="5">
        <f t="shared" si="0"/>
        <v>10.369489999999999</v>
      </c>
      <c r="G47" s="5">
        <f t="shared" si="1"/>
        <v>0.22635082750170446</v>
      </c>
      <c r="H47" s="5">
        <v>0.74073999999999995</v>
      </c>
      <c r="I47">
        <v>90.9</v>
      </c>
      <c r="J47">
        <f t="shared" si="2"/>
        <v>0.47802086986852882</v>
      </c>
      <c r="K47">
        <f t="shared" si="3"/>
        <v>-0.47802086986852882</v>
      </c>
      <c r="L47" s="7">
        <v>49.887599999999999</v>
      </c>
    </row>
    <row r="48" spans="1:12" x14ac:dyDescent="0.3">
      <c r="A48" s="4">
        <v>32690</v>
      </c>
      <c r="B48">
        <v>1989</v>
      </c>
      <c r="C48">
        <v>3</v>
      </c>
      <c r="D48" s="2">
        <v>5.2</v>
      </c>
      <c r="E48" s="5">
        <v>4.4351500000000001</v>
      </c>
      <c r="F48" s="5">
        <f t="shared" si="0"/>
        <v>9.6351499999999994</v>
      </c>
      <c r="G48" s="5">
        <f t="shared" si="1"/>
        <v>3.2559668654520519E-3</v>
      </c>
      <c r="H48" s="5">
        <v>0.19697999999999999</v>
      </c>
      <c r="I48">
        <v>92.5</v>
      </c>
      <c r="J48">
        <f t="shared" si="2"/>
        <v>0.60152944026575628</v>
      </c>
      <c r="K48">
        <f t="shared" si="3"/>
        <v>-0.60152944026575628</v>
      </c>
      <c r="L48" s="7">
        <v>50.171169999999996</v>
      </c>
    </row>
    <row r="49" spans="1:12" x14ac:dyDescent="0.3">
      <c r="A49" s="4">
        <v>32782</v>
      </c>
      <c r="B49">
        <v>1989</v>
      </c>
      <c r="C49">
        <v>4</v>
      </c>
      <c r="D49" s="2">
        <v>5.4</v>
      </c>
      <c r="E49" s="5">
        <v>4.6395999999999997</v>
      </c>
      <c r="F49" s="5">
        <f t="shared" si="0"/>
        <v>10.0396</v>
      </c>
      <c r="G49" s="5">
        <f t="shared" si="1"/>
        <v>0.12612918143136495</v>
      </c>
      <c r="H49" s="5">
        <v>1.0928800000000001</v>
      </c>
      <c r="I49">
        <v>91.8</v>
      </c>
      <c r="J49">
        <f t="shared" si="2"/>
        <v>0.54749444071696884</v>
      </c>
      <c r="K49">
        <f t="shared" si="3"/>
        <v>-0.54749444071696884</v>
      </c>
      <c r="L49" s="7">
        <v>51.38111</v>
      </c>
    </row>
    <row r="50" spans="1:12" x14ac:dyDescent="0.3">
      <c r="A50" s="4">
        <v>32874</v>
      </c>
      <c r="B50">
        <v>1990</v>
      </c>
      <c r="C50">
        <v>1</v>
      </c>
      <c r="D50" s="2">
        <v>5.3</v>
      </c>
      <c r="E50" s="5">
        <v>5.2373200000000004</v>
      </c>
      <c r="F50" s="5">
        <f t="shared" si="0"/>
        <v>10.537320000000001</v>
      </c>
      <c r="G50" s="5">
        <f t="shared" si="1"/>
        <v>0.27733812284253123</v>
      </c>
      <c r="H50" s="5">
        <v>0.36297000000000001</v>
      </c>
      <c r="I50">
        <v>91.3</v>
      </c>
      <c r="J50">
        <f t="shared" si="2"/>
        <v>0.50889801246783506</v>
      </c>
      <c r="K50">
        <f t="shared" si="3"/>
        <v>-0.50889801246783506</v>
      </c>
      <c r="L50" s="7">
        <v>51.968559999999997</v>
      </c>
    </row>
    <row r="51" spans="1:12" x14ac:dyDescent="0.3">
      <c r="A51" s="4">
        <v>32964</v>
      </c>
      <c r="B51">
        <v>1990</v>
      </c>
      <c r="C51">
        <v>2</v>
      </c>
      <c r="D51" s="2">
        <v>5.3</v>
      </c>
      <c r="E51" s="5">
        <v>4.6736500000000003</v>
      </c>
      <c r="F51" s="5">
        <f t="shared" si="0"/>
        <v>9.9736499999999992</v>
      </c>
      <c r="G51" s="5">
        <f t="shared" si="1"/>
        <v>0.10609335870761159</v>
      </c>
      <c r="H51" s="5">
        <v>6.658E-2</v>
      </c>
      <c r="I51">
        <v>90.9</v>
      </c>
      <c r="J51">
        <f t="shared" si="2"/>
        <v>0.47802086986852882</v>
      </c>
      <c r="K51">
        <f t="shared" si="3"/>
        <v>-0.47802086986852882</v>
      </c>
      <c r="L51" s="7">
        <v>52.747300000000003</v>
      </c>
    </row>
    <row r="52" spans="1:12" x14ac:dyDescent="0.3">
      <c r="A52" s="4">
        <v>33055</v>
      </c>
      <c r="B52">
        <v>1990</v>
      </c>
      <c r="C52">
        <v>3</v>
      </c>
      <c r="D52" s="2">
        <v>5.7</v>
      </c>
      <c r="E52" s="5">
        <v>6.1698700000000004</v>
      </c>
      <c r="F52" s="5">
        <f t="shared" si="0"/>
        <v>11.869870000000001</v>
      </c>
      <c r="G52" s="5">
        <f t="shared" si="1"/>
        <v>0.68217111102353489</v>
      </c>
      <c r="H52" s="5">
        <v>-0.91039999999999999</v>
      </c>
      <c r="I52">
        <v>79.099999999999994</v>
      </c>
      <c r="J52">
        <f t="shared" si="2"/>
        <v>-0.4328548368110276</v>
      </c>
      <c r="K52">
        <f t="shared" si="3"/>
        <v>0.4328548368110276</v>
      </c>
      <c r="L52" s="7">
        <v>53.753129999999999</v>
      </c>
    </row>
    <row r="53" spans="1:12" x14ac:dyDescent="0.3">
      <c r="A53" s="4">
        <v>33147</v>
      </c>
      <c r="B53">
        <v>1990</v>
      </c>
      <c r="C53">
        <v>4</v>
      </c>
      <c r="D53" s="2">
        <v>6.1</v>
      </c>
      <c r="E53" s="5">
        <v>6.25495</v>
      </c>
      <c r="F53" s="5">
        <f t="shared" si="0"/>
        <v>12.354949999999999</v>
      </c>
      <c r="G53" s="5">
        <f t="shared" si="1"/>
        <v>0.82953997966399151</v>
      </c>
      <c r="H53" s="5">
        <v>-0.46794000000000002</v>
      </c>
      <c r="I53">
        <v>65.2</v>
      </c>
      <c r="J53">
        <f t="shared" si="2"/>
        <v>-1.505835542136944</v>
      </c>
      <c r="K53">
        <f t="shared" si="3"/>
        <v>1.505835542136944</v>
      </c>
      <c r="L53" s="7">
        <v>56.03613</v>
      </c>
    </row>
    <row r="54" spans="1:12" x14ac:dyDescent="0.3">
      <c r="A54" s="4">
        <v>33239</v>
      </c>
      <c r="B54">
        <v>1991</v>
      </c>
      <c r="C54">
        <v>1</v>
      </c>
      <c r="D54" s="2">
        <v>6.6</v>
      </c>
      <c r="E54" s="5">
        <v>4.8211500000000003</v>
      </c>
      <c r="F54" s="5">
        <f t="shared" si="0"/>
        <v>11.421150000000001</v>
      </c>
      <c r="G54" s="5">
        <f t="shared" si="1"/>
        <v>0.54584852766337577</v>
      </c>
      <c r="H54" s="5">
        <v>0.77968999999999999</v>
      </c>
      <c r="I54">
        <v>74.8</v>
      </c>
      <c r="J54">
        <f t="shared" si="2"/>
        <v>-0.7647841197535773</v>
      </c>
      <c r="K54">
        <f t="shared" si="3"/>
        <v>0.7647841197535773</v>
      </c>
      <c r="L54" s="7">
        <v>57.416519999999998</v>
      </c>
    </row>
    <row r="55" spans="1:12" x14ac:dyDescent="0.3">
      <c r="A55" s="4">
        <v>33329</v>
      </c>
      <c r="B55">
        <v>1991</v>
      </c>
      <c r="C55">
        <v>2</v>
      </c>
      <c r="D55" s="2">
        <v>6.8</v>
      </c>
      <c r="E55" s="5">
        <v>4.6959200000000001</v>
      </c>
      <c r="F55" s="5">
        <f t="shared" si="0"/>
        <v>11.49592</v>
      </c>
      <c r="G55" s="5">
        <f t="shared" si="1"/>
        <v>0.56856389483630987</v>
      </c>
      <c r="H55" s="5">
        <v>0.50536000000000003</v>
      </c>
      <c r="I55">
        <v>80.8</v>
      </c>
      <c r="J55">
        <f t="shared" si="2"/>
        <v>-0.30162698076397276</v>
      </c>
      <c r="K55">
        <f t="shared" si="3"/>
        <v>0.30162698076397276</v>
      </c>
      <c r="L55" s="7">
        <v>57.745510000000003</v>
      </c>
    </row>
    <row r="56" spans="1:12" x14ac:dyDescent="0.3">
      <c r="A56" s="4">
        <v>33420</v>
      </c>
      <c r="B56">
        <v>1991</v>
      </c>
      <c r="C56">
        <v>3</v>
      </c>
      <c r="D56" s="2">
        <v>6.9</v>
      </c>
      <c r="E56" s="5">
        <v>3.3962300000000001</v>
      </c>
      <c r="F56" s="5">
        <f t="shared" si="0"/>
        <v>10.296230000000001</v>
      </c>
      <c r="G56" s="5">
        <f t="shared" si="1"/>
        <v>0.20409420319932225</v>
      </c>
      <c r="H56" s="5">
        <v>0.34854000000000002</v>
      </c>
      <c r="I56">
        <v>82.6</v>
      </c>
      <c r="J56">
        <f t="shared" si="2"/>
        <v>-0.16267983906709166</v>
      </c>
      <c r="K56">
        <f t="shared" si="3"/>
        <v>0.16267983906709166</v>
      </c>
      <c r="L56" s="7">
        <v>59.061230000000002</v>
      </c>
    </row>
    <row r="57" spans="1:12" x14ac:dyDescent="0.3">
      <c r="A57" s="4">
        <v>33512</v>
      </c>
      <c r="B57">
        <v>1991</v>
      </c>
      <c r="C57">
        <v>4</v>
      </c>
      <c r="D57" s="2">
        <v>7.1</v>
      </c>
      <c r="E57" s="5">
        <v>2.9806300000000001</v>
      </c>
      <c r="F57" s="5">
        <f t="shared" si="0"/>
        <v>10.080629999999999</v>
      </c>
      <c r="G57" s="5">
        <f t="shared" si="1"/>
        <v>0.13859422777489147</v>
      </c>
      <c r="H57" s="5">
        <v>1.1972499999999999</v>
      </c>
      <c r="I57">
        <v>71.900000000000006</v>
      </c>
      <c r="J57">
        <f t="shared" si="2"/>
        <v>-0.98864340359855218</v>
      </c>
      <c r="K57">
        <f t="shared" si="3"/>
        <v>0.98864340359855218</v>
      </c>
      <c r="L57" s="7">
        <v>60.685989999999997</v>
      </c>
    </row>
    <row r="58" spans="1:12" x14ac:dyDescent="0.3">
      <c r="A58" s="4">
        <v>33604</v>
      </c>
      <c r="B58">
        <v>1992</v>
      </c>
      <c r="C58">
        <v>1</v>
      </c>
      <c r="D58" s="2">
        <v>7.4</v>
      </c>
      <c r="E58" s="5">
        <v>3.1899099999999998</v>
      </c>
      <c r="F58" s="5">
        <f t="shared" si="0"/>
        <v>10.58991</v>
      </c>
      <c r="G58" s="5">
        <f t="shared" si="1"/>
        <v>0.29331513447319307</v>
      </c>
      <c r="H58" s="5">
        <v>1.0843</v>
      </c>
      <c r="I58">
        <v>70.7</v>
      </c>
      <c r="J58">
        <f t="shared" si="2"/>
        <v>-1.0812748313964733</v>
      </c>
      <c r="K58">
        <f t="shared" si="3"/>
        <v>1.0812748313964733</v>
      </c>
      <c r="L58" s="7">
        <v>60.996789999999997</v>
      </c>
    </row>
    <row r="59" spans="1:12" x14ac:dyDescent="0.3">
      <c r="A59" s="4">
        <v>33695</v>
      </c>
      <c r="B59">
        <v>1992</v>
      </c>
      <c r="C59">
        <v>2</v>
      </c>
      <c r="D59" s="2">
        <v>7.6</v>
      </c>
      <c r="E59" s="5">
        <v>3.01471</v>
      </c>
      <c r="F59" s="5">
        <f t="shared" si="0"/>
        <v>10.614709999999999</v>
      </c>
      <c r="G59" s="5">
        <f t="shared" si="1"/>
        <v>0.30084945446635541</v>
      </c>
      <c r="H59" s="5">
        <v>0.98811000000000004</v>
      </c>
      <c r="I59">
        <v>78.900000000000006</v>
      </c>
      <c r="J59">
        <f t="shared" si="2"/>
        <v>-0.44829340811068019</v>
      </c>
      <c r="K59">
        <f t="shared" si="3"/>
        <v>0.44829340811068019</v>
      </c>
      <c r="L59" s="7">
        <v>61.57938</v>
      </c>
    </row>
    <row r="60" spans="1:12" x14ac:dyDescent="0.3">
      <c r="A60" s="4">
        <v>33786</v>
      </c>
      <c r="B60">
        <v>1992</v>
      </c>
      <c r="C60">
        <v>3</v>
      </c>
      <c r="D60" s="2">
        <v>7.6</v>
      </c>
      <c r="E60" s="5">
        <v>2.9927000000000001</v>
      </c>
      <c r="F60" s="5">
        <f t="shared" si="0"/>
        <v>10.592700000000001</v>
      </c>
      <c r="G60" s="5">
        <f t="shared" si="1"/>
        <v>0.29416274547242416</v>
      </c>
      <c r="H60" s="5">
        <v>1.0428599999999999</v>
      </c>
      <c r="I60">
        <v>76.099999999999994</v>
      </c>
      <c r="J60">
        <f t="shared" si="2"/>
        <v>-0.66443340630582981</v>
      </c>
      <c r="K60">
        <f t="shared" si="3"/>
        <v>0.66443340630582981</v>
      </c>
      <c r="L60" s="7">
        <v>61.898020000000002</v>
      </c>
    </row>
    <row r="61" spans="1:12" x14ac:dyDescent="0.3">
      <c r="A61" s="4">
        <v>33878</v>
      </c>
      <c r="B61">
        <v>1992</v>
      </c>
      <c r="C61">
        <v>4</v>
      </c>
      <c r="D61" s="2">
        <v>7.4</v>
      </c>
      <c r="E61" s="5">
        <v>2.96671</v>
      </c>
      <c r="F61" s="5">
        <f t="shared" si="0"/>
        <v>10.366710000000001</v>
      </c>
      <c r="G61" s="5">
        <f t="shared" si="1"/>
        <v>0.22550625453472964</v>
      </c>
      <c r="H61" s="5">
        <v>0.16694000000000001</v>
      </c>
      <c r="I61">
        <v>83.3</v>
      </c>
      <c r="J61">
        <f t="shared" si="2"/>
        <v>-0.10864483951830424</v>
      </c>
      <c r="K61">
        <f t="shared" si="3"/>
        <v>0.10864483951830424</v>
      </c>
      <c r="L61" s="7">
        <v>62.522559999999999</v>
      </c>
    </row>
    <row r="62" spans="1:12" x14ac:dyDescent="0.3">
      <c r="A62" s="4">
        <v>33970</v>
      </c>
      <c r="B62">
        <v>1993</v>
      </c>
      <c r="C62">
        <v>1</v>
      </c>
      <c r="D62" s="2">
        <v>7.1</v>
      </c>
      <c r="E62" s="5">
        <v>3.0194100000000001</v>
      </c>
      <c r="F62" s="5">
        <f t="shared" si="0"/>
        <v>10.11941</v>
      </c>
      <c r="G62" s="5">
        <f t="shared" si="1"/>
        <v>0.15037571686097434</v>
      </c>
      <c r="H62" s="5">
        <v>0.58216999999999997</v>
      </c>
      <c r="I62">
        <v>87.3</v>
      </c>
      <c r="J62">
        <f t="shared" si="2"/>
        <v>0.20012658647476544</v>
      </c>
      <c r="K62">
        <f t="shared" si="3"/>
        <v>-0.20012658647476544</v>
      </c>
      <c r="L62" s="7">
        <v>62.866570000000003</v>
      </c>
    </row>
    <row r="63" spans="1:12" x14ac:dyDescent="0.3">
      <c r="A63" s="4">
        <v>34060</v>
      </c>
      <c r="B63">
        <v>1993</v>
      </c>
      <c r="C63">
        <v>2</v>
      </c>
      <c r="D63" s="2">
        <v>7.1</v>
      </c>
      <c r="E63" s="5">
        <v>2.9978600000000002</v>
      </c>
      <c r="F63" s="5">
        <f t="shared" si="0"/>
        <v>10.097860000000001</v>
      </c>
      <c r="G63" s="5">
        <f t="shared" si="1"/>
        <v>0.14382875735078676</v>
      </c>
      <c r="H63" s="5">
        <v>0.47715000000000002</v>
      </c>
      <c r="I63">
        <v>82.5</v>
      </c>
      <c r="J63">
        <f t="shared" si="2"/>
        <v>-0.17039912471691795</v>
      </c>
      <c r="K63">
        <f t="shared" si="3"/>
        <v>0.17039912471691795</v>
      </c>
      <c r="L63" s="7">
        <v>63.915239999999997</v>
      </c>
    </row>
    <row r="64" spans="1:12" x14ac:dyDescent="0.3">
      <c r="A64" s="4">
        <v>34151</v>
      </c>
      <c r="B64">
        <v>1993</v>
      </c>
      <c r="C64">
        <v>3</v>
      </c>
      <c r="D64" s="2">
        <v>6.8</v>
      </c>
      <c r="E64" s="5">
        <v>2.7639999999999998</v>
      </c>
      <c r="F64" s="5">
        <f t="shared" si="0"/>
        <v>9.5640000000000001</v>
      </c>
      <c r="G64" s="5">
        <f t="shared" si="1"/>
        <v>-1.8359632631060774E-2</v>
      </c>
      <c r="H64" s="5">
        <v>1.36015</v>
      </c>
      <c r="I64">
        <v>77.400000000000006</v>
      </c>
      <c r="J64">
        <f t="shared" si="2"/>
        <v>-0.56408269285808132</v>
      </c>
      <c r="K64">
        <f t="shared" si="3"/>
        <v>0.56408269285808132</v>
      </c>
      <c r="L64" s="7">
        <v>64.100930000000005</v>
      </c>
    </row>
    <row r="65" spans="1:12" x14ac:dyDescent="0.3">
      <c r="A65" s="4">
        <v>34243</v>
      </c>
      <c r="B65">
        <v>1993</v>
      </c>
      <c r="C65">
        <v>4</v>
      </c>
      <c r="D65" s="2">
        <v>6.6</v>
      </c>
      <c r="E65" s="5">
        <v>2.8109600000000001</v>
      </c>
      <c r="F65" s="5">
        <f t="shared" si="0"/>
        <v>9.4109599999999993</v>
      </c>
      <c r="G65" s="5">
        <f t="shared" si="1"/>
        <v>-6.485367826628731E-2</v>
      </c>
      <c r="H65" s="5">
        <v>0.97036</v>
      </c>
      <c r="I65">
        <v>84.1</v>
      </c>
      <c r="J65">
        <f t="shared" si="2"/>
        <v>-4.6890554319690518E-2</v>
      </c>
      <c r="K65">
        <f t="shared" si="3"/>
        <v>4.6890554319690518E-2</v>
      </c>
      <c r="L65" s="7">
        <v>64.668610000000001</v>
      </c>
    </row>
    <row r="66" spans="1:12" x14ac:dyDescent="0.3">
      <c r="A66" s="4">
        <v>34335</v>
      </c>
      <c r="B66">
        <v>1994</v>
      </c>
      <c r="C66">
        <v>1</v>
      </c>
      <c r="D66" s="2">
        <v>6.6</v>
      </c>
      <c r="E66" s="5">
        <v>2.65178</v>
      </c>
      <c r="F66" s="5">
        <f t="shared" si="0"/>
        <v>9.2517800000000001</v>
      </c>
      <c r="G66" s="5">
        <f t="shared" si="1"/>
        <v>-0.11321307570627219</v>
      </c>
      <c r="H66" s="5">
        <v>1.3551800000000001</v>
      </c>
      <c r="I66">
        <v>93</v>
      </c>
      <c r="J66">
        <f t="shared" si="2"/>
        <v>0.64012586851488995</v>
      </c>
      <c r="K66">
        <f t="shared" si="3"/>
        <v>-0.64012586851488995</v>
      </c>
      <c r="L66" s="7">
        <v>64.307090000000002</v>
      </c>
    </row>
    <row r="67" spans="1:12" x14ac:dyDescent="0.3">
      <c r="A67" s="4">
        <v>34425</v>
      </c>
      <c r="B67">
        <v>1994</v>
      </c>
      <c r="C67">
        <v>2</v>
      </c>
      <c r="D67" s="2">
        <v>6.2</v>
      </c>
      <c r="E67" s="5">
        <v>2.4948000000000001</v>
      </c>
      <c r="F67" s="5">
        <f t="shared" ref="F67:F130" si="4">D67+E67</f>
        <v>8.6948000000000008</v>
      </c>
      <c r="G67" s="5">
        <f t="shared" ref="G67:G130" si="5">(F67-AVERAGE($F$2:$F$190))/_xlfn.STDEV.P($F$2:$F$190)</f>
        <v>-0.28242539626239033</v>
      </c>
      <c r="H67" s="5">
        <v>0.58457999999999999</v>
      </c>
      <c r="I67">
        <v>92.2</v>
      </c>
      <c r="J67">
        <f t="shared" ref="J67:J130" si="6">(I67-AVERAGE($I$2:$I$189))/_xlfn.STDEV.P($I$2:$I$189)</f>
        <v>0.57837158331627625</v>
      </c>
      <c r="K67">
        <f t="shared" ref="K67:K130" si="7">-J67</f>
        <v>-0.57837158331627625</v>
      </c>
      <c r="L67" s="7">
        <v>64.107159999999993</v>
      </c>
    </row>
    <row r="68" spans="1:12" x14ac:dyDescent="0.3">
      <c r="A68" s="4">
        <v>34516</v>
      </c>
      <c r="B68">
        <v>1994</v>
      </c>
      <c r="C68">
        <v>3</v>
      </c>
      <c r="D68" s="2">
        <v>6</v>
      </c>
      <c r="E68" s="5">
        <v>2.9655200000000002</v>
      </c>
      <c r="F68" s="5">
        <f t="shared" si="4"/>
        <v>8.9655199999999997</v>
      </c>
      <c r="G68" s="5">
        <f t="shared" si="5"/>
        <v>-0.20017978704670542</v>
      </c>
      <c r="H68" s="5">
        <v>1.14557</v>
      </c>
      <c r="I68">
        <v>90.7</v>
      </c>
      <c r="J68">
        <f t="shared" si="6"/>
        <v>0.46258229856887512</v>
      </c>
      <c r="K68">
        <f t="shared" si="7"/>
        <v>-0.46258229856887512</v>
      </c>
      <c r="L68" s="7">
        <v>64.011759999999995</v>
      </c>
    </row>
    <row r="69" spans="1:12" x14ac:dyDescent="0.3">
      <c r="A69" s="4">
        <v>34608</v>
      </c>
      <c r="B69">
        <v>1994</v>
      </c>
      <c r="C69">
        <v>4</v>
      </c>
      <c r="D69" s="2">
        <v>5.6</v>
      </c>
      <c r="E69" s="5">
        <v>2.5973999999999999</v>
      </c>
      <c r="F69" s="5">
        <f t="shared" si="4"/>
        <v>8.1974</v>
      </c>
      <c r="G69" s="5">
        <f t="shared" si="5"/>
        <v>-0.43353712064138666</v>
      </c>
      <c r="H69" s="5">
        <v>0.35477999999999998</v>
      </c>
      <c r="I69">
        <v>93.1</v>
      </c>
      <c r="J69">
        <f t="shared" si="6"/>
        <v>0.64784515416471622</v>
      </c>
      <c r="K69">
        <f t="shared" si="7"/>
        <v>-0.64784515416471622</v>
      </c>
      <c r="L69" s="7">
        <v>64.385840000000002</v>
      </c>
    </row>
    <row r="70" spans="1:12" x14ac:dyDescent="0.3">
      <c r="A70" s="4">
        <v>34700</v>
      </c>
      <c r="B70">
        <v>1995</v>
      </c>
      <c r="C70">
        <v>1</v>
      </c>
      <c r="D70" s="2">
        <v>5.5</v>
      </c>
      <c r="E70" s="5">
        <v>2.78722</v>
      </c>
      <c r="F70" s="5">
        <f t="shared" si="4"/>
        <v>8.2872199999999996</v>
      </c>
      <c r="G70" s="5">
        <f t="shared" si="5"/>
        <v>-0.40624951492421463</v>
      </c>
      <c r="H70" s="5">
        <v>0.29831999999999997</v>
      </c>
      <c r="I70">
        <v>94.3</v>
      </c>
      <c r="J70">
        <f t="shared" si="6"/>
        <v>0.74047658196263733</v>
      </c>
      <c r="K70">
        <f t="shared" si="7"/>
        <v>-0.74047658196263733</v>
      </c>
      <c r="L70" s="7">
        <v>64.662710000000004</v>
      </c>
    </row>
    <row r="71" spans="1:12" x14ac:dyDescent="0.3">
      <c r="A71" s="4">
        <v>34790</v>
      </c>
      <c r="B71">
        <v>1995</v>
      </c>
      <c r="C71">
        <v>2</v>
      </c>
      <c r="D71" s="2">
        <v>5.7</v>
      </c>
      <c r="E71" s="5">
        <v>3.0426000000000002</v>
      </c>
      <c r="F71" s="5">
        <f t="shared" si="4"/>
        <v>8.7425999999999995</v>
      </c>
      <c r="G71" s="5">
        <f t="shared" si="5"/>
        <v>-0.26790360208202074</v>
      </c>
      <c r="H71" s="5">
        <v>0.85072999999999999</v>
      </c>
      <c r="I71">
        <v>91.7</v>
      </c>
      <c r="J71">
        <f t="shared" si="6"/>
        <v>0.53977515506714246</v>
      </c>
      <c r="K71">
        <f t="shared" si="7"/>
        <v>-0.53977515506714246</v>
      </c>
      <c r="L71" s="7">
        <v>65.312939999999998</v>
      </c>
    </row>
    <row r="72" spans="1:12" x14ac:dyDescent="0.3">
      <c r="A72" s="4">
        <v>34881</v>
      </c>
      <c r="B72">
        <v>1995</v>
      </c>
      <c r="C72">
        <v>3</v>
      </c>
      <c r="D72" s="2">
        <v>5.7</v>
      </c>
      <c r="E72" s="5">
        <v>2.54521</v>
      </c>
      <c r="F72" s="5">
        <f t="shared" si="4"/>
        <v>8.2452100000000002</v>
      </c>
      <c r="G72" s="5">
        <f t="shared" si="5"/>
        <v>-0.41901228842876137</v>
      </c>
      <c r="H72" s="5">
        <v>0.67908000000000002</v>
      </c>
      <c r="I72">
        <v>93.1</v>
      </c>
      <c r="J72">
        <f t="shared" si="6"/>
        <v>0.64784515416471622</v>
      </c>
      <c r="K72">
        <f t="shared" si="7"/>
        <v>-0.64784515416471622</v>
      </c>
      <c r="L72" s="7">
        <v>64.739059999999995</v>
      </c>
    </row>
    <row r="73" spans="1:12" x14ac:dyDescent="0.3">
      <c r="A73" s="4">
        <v>34973</v>
      </c>
      <c r="B73">
        <v>1995</v>
      </c>
      <c r="C73">
        <v>4</v>
      </c>
      <c r="D73" s="2">
        <v>5.6</v>
      </c>
      <c r="E73" s="5">
        <v>2.53165</v>
      </c>
      <c r="F73" s="5">
        <f t="shared" si="4"/>
        <v>8.1316500000000005</v>
      </c>
      <c r="G73" s="5">
        <f t="shared" si="5"/>
        <v>-0.45351218272003346</v>
      </c>
      <c r="H73" s="5">
        <v>0.74904999999999999</v>
      </c>
      <c r="I73">
        <v>89.8</v>
      </c>
      <c r="J73">
        <f t="shared" si="6"/>
        <v>0.39310872772043398</v>
      </c>
      <c r="K73">
        <f t="shared" si="7"/>
        <v>-0.39310872772043398</v>
      </c>
      <c r="L73" s="7">
        <v>64.182820000000007</v>
      </c>
    </row>
    <row r="74" spans="1:12" x14ac:dyDescent="0.3">
      <c r="A74" s="4">
        <v>35065</v>
      </c>
      <c r="B74">
        <v>1996</v>
      </c>
      <c r="C74">
        <v>1</v>
      </c>
      <c r="D74" s="2">
        <v>5.5</v>
      </c>
      <c r="E74" s="5">
        <v>2.8439199999999998</v>
      </c>
      <c r="F74" s="5">
        <f t="shared" si="4"/>
        <v>8.3439200000000007</v>
      </c>
      <c r="G74" s="5">
        <f t="shared" si="5"/>
        <v>-0.3890238720366207</v>
      </c>
      <c r="H74" s="5">
        <v>1.66794</v>
      </c>
      <c r="I74">
        <v>90.5</v>
      </c>
      <c r="J74">
        <f t="shared" si="6"/>
        <v>0.44714372726922141</v>
      </c>
      <c r="K74">
        <f t="shared" si="7"/>
        <v>-0.44714372726922141</v>
      </c>
      <c r="L74" s="7">
        <v>65.041709999999995</v>
      </c>
    </row>
    <row r="75" spans="1:12" x14ac:dyDescent="0.3">
      <c r="A75" s="4">
        <v>35156</v>
      </c>
      <c r="B75">
        <v>1996</v>
      </c>
      <c r="C75">
        <v>2</v>
      </c>
      <c r="D75" s="2">
        <v>5.5</v>
      </c>
      <c r="E75" s="5">
        <v>2.82152</v>
      </c>
      <c r="F75" s="5">
        <f t="shared" si="4"/>
        <v>8.3215199999999996</v>
      </c>
      <c r="G75" s="5">
        <f t="shared" si="5"/>
        <v>-0.39582906428850984</v>
      </c>
      <c r="H75" s="5">
        <v>0.89702999999999999</v>
      </c>
      <c r="I75">
        <v>91.5</v>
      </c>
      <c r="J75">
        <f t="shared" si="6"/>
        <v>0.52433658376748882</v>
      </c>
      <c r="K75">
        <f t="shared" si="7"/>
        <v>-0.52433658376748882</v>
      </c>
      <c r="L75" s="7">
        <v>64.249700000000004</v>
      </c>
    </row>
    <row r="76" spans="1:12" x14ac:dyDescent="0.3">
      <c r="A76" s="4">
        <v>35247</v>
      </c>
      <c r="B76">
        <v>1996</v>
      </c>
      <c r="C76">
        <v>3</v>
      </c>
      <c r="D76" s="2">
        <v>5.3</v>
      </c>
      <c r="E76" s="5">
        <v>3.0045700000000002</v>
      </c>
      <c r="F76" s="5">
        <f t="shared" si="4"/>
        <v>8.30457</v>
      </c>
      <c r="G76" s="5">
        <f t="shared" si="5"/>
        <v>-0.40097852896125596</v>
      </c>
      <c r="H76" s="5">
        <v>1.03837</v>
      </c>
      <c r="I76">
        <v>94.9</v>
      </c>
      <c r="J76">
        <f t="shared" si="6"/>
        <v>0.78679229586159849</v>
      </c>
      <c r="K76">
        <f t="shared" si="7"/>
        <v>-0.78679229586159849</v>
      </c>
      <c r="L76" s="7">
        <v>64.254689999999997</v>
      </c>
    </row>
    <row r="77" spans="1:12" x14ac:dyDescent="0.3">
      <c r="A77" s="4">
        <v>35339</v>
      </c>
      <c r="B77">
        <v>1996</v>
      </c>
      <c r="C77">
        <v>4</v>
      </c>
      <c r="D77" s="2">
        <v>5.3</v>
      </c>
      <c r="E77" s="5">
        <v>3.3788200000000002</v>
      </c>
      <c r="F77" s="5">
        <f t="shared" si="4"/>
        <v>8.67882</v>
      </c>
      <c r="G77" s="5">
        <f t="shared" si="5"/>
        <v>-0.287280171806372</v>
      </c>
      <c r="H77" s="5">
        <v>0.64544000000000001</v>
      </c>
      <c r="I77">
        <v>97.5</v>
      </c>
      <c r="J77">
        <f t="shared" si="6"/>
        <v>0.98749372275709335</v>
      </c>
      <c r="K77">
        <f t="shared" si="7"/>
        <v>-0.98749372275709335</v>
      </c>
      <c r="L77" s="7">
        <v>64.446969999999993</v>
      </c>
    </row>
    <row r="78" spans="1:12" x14ac:dyDescent="0.3">
      <c r="A78" s="4">
        <v>35431</v>
      </c>
      <c r="B78">
        <v>1997</v>
      </c>
      <c r="C78">
        <v>1</v>
      </c>
      <c r="D78" s="2">
        <v>5.2</v>
      </c>
      <c r="E78" s="5">
        <v>2.7652700000000001</v>
      </c>
      <c r="F78" s="5">
        <f t="shared" si="4"/>
        <v>7.9652700000000003</v>
      </c>
      <c r="G78" s="5">
        <f t="shared" si="5"/>
        <v>-0.50405896338384004</v>
      </c>
      <c r="H78" s="5">
        <v>1.6652199999999999</v>
      </c>
      <c r="I78">
        <v>99</v>
      </c>
      <c r="J78">
        <f t="shared" si="6"/>
        <v>1.1032830075044944</v>
      </c>
      <c r="K78">
        <f t="shared" si="7"/>
        <v>-1.1032830075044944</v>
      </c>
      <c r="L78" s="7">
        <v>64.344279999999998</v>
      </c>
    </row>
    <row r="79" spans="1:12" x14ac:dyDescent="0.3">
      <c r="A79" s="4">
        <v>35521</v>
      </c>
      <c r="B79">
        <v>1997</v>
      </c>
      <c r="C79">
        <v>2</v>
      </c>
      <c r="D79" s="2">
        <v>5</v>
      </c>
      <c r="E79" s="5">
        <v>2.2335699999999998</v>
      </c>
      <c r="F79" s="5">
        <f t="shared" si="4"/>
        <v>7.2335700000000003</v>
      </c>
      <c r="G79" s="5">
        <f t="shared" si="5"/>
        <v>-0.72635178350469143</v>
      </c>
      <c r="H79" s="5">
        <v>1.24857</v>
      </c>
      <c r="I79">
        <v>103</v>
      </c>
      <c r="J79">
        <f t="shared" si="6"/>
        <v>1.4120544334975642</v>
      </c>
      <c r="K79">
        <f t="shared" si="7"/>
        <v>-1.4120544334975642</v>
      </c>
      <c r="L79" s="7">
        <v>63.109070000000003</v>
      </c>
    </row>
    <row r="80" spans="1:12" x14ac:dyDescent="0.3">
      <c r="A80" s="4">
        <v>35612</v>
      </c>
      <c r="B80">
        <v>1997</v>
      </c>
      <c r="C80">
        <v>3</v>
      </c>
      <c r="D80" s="2">
        <v>4.9000000000000004</v>
      </c>
      <c r="E80" s="5">
        <v>2.2193999999999998</v>
      </c>
      <c r="F80" s="5">
        <f t="shared" si="4"/>
        <v>7.1194000000000006</v>
      </c>
      <c r="G80" s="5">
        <f t="shared" si="5"/>
        <v>-0.76103699776353728</v>
      </c>
      <c r="H80" s="5">
        <v>0.85385999999999995</v>
      </c>
      <c r="I80">
        <v>105.8</v>
      </c>
      <c r="J80">
        <f t="shared" si="6"/>
        <v>1.6281944316927126</v>
      </c>
      <c r="K80">
        <f t="shared" si="7"/>
        <v>-1.6281944316927126</v>
      </c>
      <c r="L80" s="7">
        <v>62.487090000000002</v>
      </c>
    </row>
    <row r="81" spans="1:16" x14ac:dyDescent="0.3">
      <c r="A81" s="4">
        <v>35704</v>
      </c>
      <c r="B81">
        <v>1997</v>
      </c>
      <c r="C81">
        <v>4</v>
      </c>
      <c r="D81" s="2">
        <v>4.7</v>
      </c>
      <c r="E81" s="5">
        <v>1.6970499999999999</v>
      </c>
      <c r="F81" s="5">
        <f t="shared" si="4"/>
        <v>6.3970500000000001</v>
      </c>
      <c r="G81" s="5">
        <f t="shared" si="5"/>
        <v>-0.9804892577256763</v>
      </c>
      <c r="H81" s="5">
        <v>1.0037499999999999</v>
      </c>
      <c r="I81">
        <v>105</v>
      </c>
      <c r="J81">
        <f t="shared" si="6"/>
        <v>1.5664401464940989</v>
      </c>
      <c r="K81">
        <f t="shared" si="7"/>
        <v>-1.5664401464940989</v>
      </c>
      <c r="L81" s="7">
        <v>62.770319999999998</v>
      </c>
    </row>
    <row r="82" spans="1:16" x14ac:dyDescent="0.3">
      <c r="A82" s="4">
        <v>35796</v>
      </c>
      <c r="B82">
        <v>1998</v>
      </c>
      <c r="C82">
        <v>1</v>
      </c>
      <c r="D82" s="2">
        <v>4.5999999999999996</v>
      </c>
      <c r="E82" s="5">
        <v>1.3767199999999999</v>
      </c>
      <c r="F82" s="5">
        <f t="shared" si="4"/>
        <v>5.9767199999999994</v>
      </c>
      <c r="G82" s="5">
        <f t="shared" si="5"/>
        <v>-1.1081868675130175</v>
      </c>
      <c r="H82" s="5">
        <v>0.92569000000000001</v>
      </c>
      <c r="I82">
        <v>107.8</v>
      </c>
      <c r="J82">
        <f t="shared" si="6"/>
        <v>1.7825801446892475</v>
      </c>
      <c r="K82">
        <f t="shared" si="7"/>
        <v>-1.7825801446892475</v>
      </c>
      <c r="L82" s="7">
        <v>62.509880000000003</v>
      </c>
    </row>
    <row r="83" spans="1:16" x14ac:dyDescent="0.3">
      <c r="A83" s="4">
        <v>35886</v>
      </c>
      <c r="B83">
        <v>1998</v>
      </c>
      <c r="C83">
        <v>2</v>
      </c>
      <c r="D83" s="2">
        <v>4.4000000000000004</v>
      </c>
      <c r="E83" s="5">
        <v>1.62297</v>
      </c>
      <c r="F83" s="5">
        <f t="shared" si="4"/>
        <v>6.0229700000000008</v>
      </c>
      <c r="G83" s="5">
        <f t="shared" si="5"/>
        <v>-1.0941359683322198</v>
      </c>
      <c r="H83" s="5">
        <v>1.2589399999999999</v>
      </c>
      <c r="I83">
        <v>106.9</v>
      </c>
      <c r="J83">
        <f t="shared" si="6"/>
        <v>1.7131065738408076</v>
      </c>
      <c r="K83">
        <f t="shared" si="7"/>
        <v>-1.7131065738408076</v>
      </c>
      <c r="L83" s="7">
        <v>61.851959999999998</v>
      </c>
    </row>
    <row r="84" spans="1:16" x14ac:dyDescent="0.3">
      <c r="A84" s="4">
        <v>35977</v>
      </c>
      <c r="B84">
        <v>1998</v>
      </c>
      <c r="C84">
        <v>3</v>
      </c>
      <c r="D84" s="2">
        <v>4.5</v>
      </c>
      <c r="E84" s="5">
        <v>1.4268000000000001</v>
      </c>
      <c r="F84" s="5">
        <f t="shared" si="4"/>
        <v>5.9268000000000001</v>
      </c>
      <c r="G84" s="5">
        <f t="shared" si="5"/>
        <v>-1.1233527245315125</v>
      </c>
      <c r="H84" s="5">
        <v>1.6092</v>
      </c>
      <c r="I84">
        <v>103.5</v>
      </c>
      <c r="J84">
        <f t="shared" si="6"/>
        <v>1.4506508617466978</v>
      </c>
      <c r="K84">
        <f t="shared" si="7"/>
        <v>-1.4506508617466978</v>
      </c>
      <c r="L84" s="7">
        <v>60.586930000000002</v>
      </c>
    </row>
    <row r="85" spans="1:16" x14ac:dyDescent="0.3">
      <c r="A85" s="4">
        <v>36069</v>
      </c>
      <c r="B85">
        <v>1998</v>
      </c>
      <c r="C85">
        <v>4</v>
      </c>
      <c r="D85" s="2">
        <v>4.4000000000000004</v>
      </c>
      <c r="E85" s="5">
        <v>1.6069199999999999</v>
      </c>
      <c r="F85" s="5">
        <f t="shared" si="4"/>
        <v>6.00692</v>
      </c>
      <c r="G85" s="5">
        <f t="shared" si="5"/>
        <v>-1.0990120101019887</v>
      </c>
      <c r="H85" s="5">
        <v>0.93942999999999999</v>
      </c>
      <c r="I85">
        <v>100.2</v>
      </c>
      <c r="J85">
        <f t="shared" si="6"/>
        <v>1.1959144353024156</v>
      </c>
      <c r="K85">
        <f t="shared" si="7"/>
        <v>-1.1959144353024156</v>
      </c>
      <c r="L85" s="7">
        <v>60.406959999999998</v>
      </c>
    </row>
    <row r="86" spans="1:16" x14ac:dyDescent="0.3">
      <c r="A86" s="4">
        <v>36161</v>
      </c>
      <c r="B86">
        <v>1999</v>
      </c>
      <c r="C86">
        <v>1</v>
      </c>
      <c r="D86" s="2">
        <v>4.3</v>
      </c>
      <c r="E86" s="5">
        <v>1.7283999999999999</v>
      </c>
      <c r="F86" s="5">
        <f t="shared" si="4"/>
        <v>6.0283999999999995</v>
      </c>
      <c r="G86" s="5">
        <f t="shared" si="5"/>
        <v>-1.0924863168175882</v>
      </c>
      <c r="H86" s="5">
        <v>0.83474000000000004</v>
      </c>
      <c r="I86">
        <v>105.9</v>
      </c>
      <c r="J86">
        <f t="shared" si="6"/>
        <v>1.63591371734254</v>
      </c>
      <c r="K86">
        <f t="shared" si="7"/>
        <v>-1.63591371734254</v>
      </c>
      <c r="L86" s="7">
        <v>60.048940000000002</v>
      </c>
    </row>
    <row r="87" spans="1:16" x14ac:dyDescent="0.3">
      <c r="A87" s="4">
        <v>36251</v>
      </c>
      <c r="B87">
        <v>1999</v>
      </c>
      <c r="C87">
        <v>2</v>
      </c>
      <c r="D87" s="2">
        <v>4.3</v>
      </c>
      <c r="E87" s="5">
        <v>1.9656</v>
      </c>
      <c r="F87" s="5">
        <f t="shared" si="4"/>
        <v>6.2656000000000001</v>
      </c>
      <c r="G87" s="5">
        <f t="shared" si="5"/>
        <v>-1.0204241917216936</v>
      </c>
      <c r="H87" s="5">
        <v>1.3258799999999999</v>
      </c>
      <c r="I87">
        <v>106.2</v>
      </c>
      <c r="J87">
        <f t="shared" si="6"/>
        <v>1.6590715742920201</v>
      </c>
      <c r="K87">
        <f t="shared" si="7"/>
        <v>-1.6590715742920201</v>
      </c>
      <c r="L87" s="7">
        <v>59.192270000000001</v>
      </c>
    </row>
    <row r="88" spans="1:16" x14ac:dyDescent="0.3">
      <c r="A88" s="4">
        <v>36342</v>
      </c>
      <c r="B88">
        <v>1999</v>
      </c>
      <c r="C88">
        <v>3</v>
      </c>
      <c r="D88" s="2">
        <v>4.2</v>
      </c>
      <c r="E88" s="5">
        <v>2.6299700000000001</v>
      </c>
      <c r="F88" s="5">
        <f t="shared" si="4"/>
        <v>6.8299700000000003</v>
      </c>
      <c r="G88" s="5">
        <f t="shared" si="5"/>
        <v>-0.84896676532890303</v>
      </c>
      <c r="H88" s="5">
        <v>1.6406700000000001</v>
      </c>
      <c r="I88">
        <v>105.9</v>
      </c>
      <c r="J88">
        <f t="shared" si="6"/>
        <v>1.63591371734254</v>
      </c>
      <c r="K88">
        <f t="shared" si="7"/>
        <v>-1.63591371734254</v>
      </c>
      <c r="L88" s="7">
        <v>58.392580000000002</v>
      </c>
    </row>
    <row r="89" spans="1:16" x14ac:dyDescent="0.3">
      <c r="A89" s="4">
        <v>36434</v>
      </c>
      <c r="B89">
        <v>1999</v>
      </c>
      <c r="C89">
        <v>4</v>
      </c>
      <c r="D89" s="2">
        <v>4.0999999999999996</v>
      </c>
      <c r="E89" s="5">
        <v>2.6764000000000001</v>
      </c>
      <c r="F89" s="5">
        <f t="shared" si="4"/>
        <v>6.7763999999999998</v>
      </c>
      <c r="G89" s="5">
        <f t="shared" si="5"/>
        <v>-0.86524150412058554</v>
      </c>
      <c r="H89" s="5">
        <v>0.36279</v>
      </c>
      <c r="I89">
        <v>105.2</v>
      </c>
      <c r="J89">
        <f t="shared" si="6"/>
        <v>1.5818787177937526</v>
      </c>
      <c r="K89">
        <f t="shared" si="7"/>
        <v>-1.5818787177937526</v>
      </c>
      <c r="L89" s="7">
        <v>58.343359999999997</v>
      </c>
    </row>
    <row r="90" spans="1:16" s="10" customFormat="1" x14ac:dyDescent="0.3">
      <c r="A90" s="9">
        <v>36526</v>
      </c>
      <c r="B90" s="10">
        <v>2000</v>
      </c>
      <c r="C90" s="10">
        <v>1</v>
      </c>
      <c r="D90" s="11">
        <v>4</v>
      </c>
      <c r="E90" s="12">
        <v>3.76214</v>
      </c>
      <c r="F90" s="12">
        <f t="shared" si="4"/>
        <v>7.7621400000000005</v>
      </c>
      <c r="G90" s="12">
        <f t="shared" si="5"/>
        <v>-0.56577051258590172</v>
      </c>
      <c r="H90" s="12">
        <v>1.8212900000000001</v>
      </c>
      <c r="I90" s="10">
        <v>110.1</v>
      </c>
      <c r="J90" s="10">
        <f t="shared" si="6"/>
        <v>1.9601237146352624</v>
      </c>
      <c r="K90" s="10">
        <f t="shared" si="7"/>
        <v>-1.9601237146352624</v>
      </c>
      <c r="L90" s="13">
        <v>57.721339999999998</v>
      </c>
      <c r="N90" s="14">
        <f>(I90-$N$193)/$N$194</f>
        <v>2.3351321720942657</v>
      </c>
      <c r="O90" s="14">
        <f>-N90</f>
        <v>-2.3351321720942657</v>
      </c>
      <c r="P90" s="14">
        <f>(F90-$P$193)/$P$194</f>
        <v>-0.27949887002015789</v>
      </c>
    </row>
    <row r="91" spans="1:16" x14ac:dyDescent="0.3">
      <c r="A91" s="4">
        <v>36617</v>
      </c>
      <c r="B91">
        <v>2000</v>
      </c>
      <c r="C91">
        <v>2</v>
      </c>
      <c r="D91" s="2">
        <v>3.9</v>
      </c>
      <c r="E91" s="5">
        <v>3.7349399999999999</v>
      </c>
      <c r="F91" s="5">
        <f t="shared" si="4"/>
        <v>7.6349400000000003</v>
      </c>
      <c r="G91" s="5">
        <f t="shared" si="5"/>
        <v>-0.60441428287341348</v>
      </c>
      <c r="H91" s="5">
        <v>0.10193000000000001</v>
      </c>
      <c r="I91">
        <v>108.8</v>
      </c>
      <c r="J91">
        <f t="shared" si="6"/>
        <v>1.8597730011875149</v>
      </c>
      <c r="K91">
        <f t="shared" si="7"/>
        <v>-1.8597730011875149</v>
      </c>
      <c r="L91" s="7">
        <v>55.484909999999999</v>
      </c>
      <c r="N91" s="14">
        <f t="shared" ref="N91:N154" si="8">(I91-$N$193)/$N$194</f>
        <v>2.2320800913336862</v>
      </c>
      <c r="O91" s="14">
        <f t="shared" ref="O91:O154" si="9">-N91</f>
        <v>-2.2320800913336862</v>
      </c>
      <c r="P91" s="14">
        <f t="shared" ref="P91:P154" si="10">(F91-$P$193)/$P$194</f>
        <v>-0.33821866032424852</v>
      </c>
    </row>
    <row r="92" spans="1:16" x14ac:dyDescent="0.3">
      <c r="A92" s="4">
        <v>36708</v>
      </c>
      <c r="B92">
        <v>2000</v>
      </c>
      <c r="C92">
        <v>3</v>
      </c>
      <c r="D92" s="2">
        <v>4</v>
      </c>
      <c r="E92" s="5">
        <v>3.4565000000000001</v>
      </c>
      <c r="F92" s="5">
        <f t="shared" si="4"/>
        <v>7.4565000000000001</v>
      </c>
      <c r="G92" s="5">
        <f t="shared" si="5"/>
        <v>-0.65862493043712089</v>
      </c>
      <c r="H92" s="5">
        <v>0.59704000000000002</v>
      </c>
      <c r="I92">
        <v>107.5</v>
      </c>
      <c r="J92">
        <f t="shared" si="6"/>
        <v>1.7594222877397676</v>
      </c>
      <c r="K92">
        <f t="shared" si="7"/>
        <v>-1.7594222877397676</v>
      </c>
      <c r="L92" s="7">
        <v>54.992130000000003</v>
      </c>
      <c r="N92" s="14">
        <f t="shared" si="8"/>
        <v>2.1290280105731063</v>
      </c>
      <c r="O92" s="14">
        <f t="shared" si="9"/>
        <v>-2.1290280105731063</v>
      </c>
      <c r="P92" s="14">
        <f t="shared" si="10"/>
        <v>-0.42059255483574176</v>
      </c>
    </row>
    <row r="93" spans="1:16" x14ac:dyDescent="0.3">
      <c r="A93" s="4">
        <v>36800</v>
      </c>
      <c r="B93">
        <v>2000</v>
      </c>
      <c r="C93">
        <v>4</v>
      </c>
      <c r="D93" s="2">
        <v>3.9</v>
      </c>
      <c r="E93" s="5">
        <v>3.4360200000000001</v>
      </c>
      <c r="F93" s="5">
        <f t="shared" si="4"/>
        <v>7.3360199999999995</v>
      </c>
      <c r="G93" s="5">
        <f t="shared" si="5"/>
        <v>-0.69522714304906608</v>
      </c>
      <c r="H93" s="5">
        <v>-0.32779999999999998</v>
      </c>
      <c r="I93">
        <v>103.9</v>
      </c>
      <c r="J93">
        <f t="shared" si="6"/>
        <v>1.4815280043460053</v>
      </c>
      <c r="K93">
        <f t="shared" si="7"/>
        <v>-1.4815280043460053</v>
      </c>
      <c r="L93" s="7">
        <v>54.257899999999999</v>
      </c>
      <c r="N93" s="14">
        <f t="shared" si="8"/>
        <v>1.843653017697654</v>
      </c>
      <c r="O93" s="14">
        <f t="shared" si="9"/>
        <v>-1.843653017697654</v>
      </c>
      <c r="P93" s="14">
        <f t="shared" si="10"/>
        <v>-0.47621016753886181</v>
      </c>
    </row>
    <row r="94" spans="1:16" x14ac:dyDescent="0.3">
      <c r="A94" s="4">
        <v>36892</v>
      </c>
      <c r="B94">
        <v>2001</v>
      </c>
      <c r="C94">
        <v>1</v>
      </c>
      <c r="D94" s="2">
        <v>4.2</v>
      </c>
      <c r="E94" s="5">
        <v>2.9824600000000001</v>
      </c>
      <c r="F94" s="5">
        <f t="shared" si="4"/>
        <v>7.1824600000000007</v>
      </c>
      <c r="G94" s="5">
        <f t="shared" si="5"/>
        <v>-0.74187916636156803</v>
      </c>
      <c r="H94" s="5">
        <v>0.62450000000000006</v>
      </c>
      <c r="I94">
        <v>92.3</v>
      </c>
      <c r="J94">
        <f t="shared" si="6"/>
        <v>0.58609086896610252</v>
      </c>
      <c r="K94">
        <f t="shared" si="7"/>
        <v>-0.58609086896610252</v>
      </c>
      <c r="L94" s="7">
        <v>55.14434</v>
      </c>
      <c r="N94" s="14">
        <f t="shared" si="8"/>
        <v>0.92411137398786147</v>
      </c>
      <c r="O94" s="14">
        <f t="shared" si="9"/>
        <v>-0.92411137398786147</v>
      </c>
      <c r="P94" s="14">
        <f t="shared" si="10"/>
        <v>-0.54709861878961719</v>
      </c>
    </row>
    <row r="95" spans="1:16" x14ac:dyDescent="0.3">
      <c r="A95" s="4">
        <v>36982</v>
      </c>
      <c r="B95">
        <v>2001</v>
      </c>
      <c r="C95">
        <v>2</v>
      </c>
      <c r="D95" s="2">
        <v>4.4000000000000004</v>
      </c>
      <c r="E95" s="5">
        <v>3.1939600000000001</v>
      </c>
      <c r="F95" s="5">
        <f t="shared" si="4"/>
        <v>7.5939600000000009</v>
      </c>
      <c r="G95" s="5">
        <f t="shared" si="5"/>
        <v>-0.61686413905566351</v>
      </c>
      <c r="H95" s="5">
        <v>-0.40064</v>
      </c>
      <c r="I95">
        <v>91</v>
      </c>
      <c r="J95">
        <f t="shared" si="6"/>
        <v>0.48574015551835509</v>
      </c>
      <c r="K95">
        <f t="shared" si="7"/>
        <v>-0.48574015551835509</v>
      </c>
      <c r="L95" s="7">
        <v>54.031649999999999</v>
      </c>
      <c r="N95" s="14">
        <f t="shared" si="8"/>
        <v>0.82105929322728166</v>
      </c>
      <c r="O95" s="14">
        <f t="shared" si="9"/>
        <v>-0.82105929322728166</v>
      </c>
      <c r="P95" s="14">
        <f t="shared" si="10"/>
        <v>-0.3571364040873114</v>
      </c>
    </row>
    <row r="96" spans="1:16" x14ac:dyDescent="0.3">
      <c r="A96" s="4">
        <v>37073</v>
      </c>
      <c r="B96">
        <v>2001</v>
      </c>
      <c r="C96">
        <v>3</v>
      </c>
      <c r="D96" s="2">
        <v>4.8</v>
      </c>
      <c r="E96" s="5">
        <v>2.5921699999999999</v>
      </c>
      <c r="F96" s="5">
        <f t="shared" si="4"/>
        <v>7.3921700000000001</v>
      </c>
      <c r="G96" s="5">
        <f t="shared" si="5"/>
        <v>-0.67816859193551415</v>
      </c>
      <c r="H96" s="5">
        <v>0.27478000000000002</v>
      </c>
      <c r="I96">
        <v>88.5</v>
      </c>
      <c r="J96">
        <f t="shared" si="6"/>
        <v>0.29275801427268655</v>
      </c>
      <c r="K96">
        <f t="shared" si="7"/>
        <v>-0.29275801427268655</v>
      </c>
      <c r="L96" s="7">
        <v>54.797629999999998</v>
      </c>
      <c r="N96" s="14">
        <f t="shared" si="8"/>
        <v>0.6228822148415506</v>
      </c>
      <c r="O96" s="14">
        <f t="shared" si="9"/>
        <v>-0.6228822148415506</v>
      </c>
      <c r="P96" s="14">
        <f t="shared" si="10"/>
        <v>-0.45028944249503533</v>
      </c>
    </row>
    <row r="97" spans="1:16" x14ac:dyDescent="0.3">
      <c r="A97" s="4">
        <v>37165</v>
      </c>
      <c r="B97">
        <v>2001</v>
      </c>
      <c r="C97">
        <v>4</v>
      </c>
      <c r="D97" s="2">
        <v>5.5</v>
      </c>
      <c r="E97" s="5">
        <v>1.6036699999999999</v>
      </c>
      <c r="F97" s="5">
        <f t="shared" si="4"/>
        <v>7.1036700000000002</v>
      </c>
      <c r="G97" s="5">
        <f t="shared" si="5"/>
        <v>-0.76581582250113622</v>
      </c>
      <c r="H97" s="5">
        <v>0.83635999999999999</v>
      </c>
      <c r="I97">
        <v>85.1</v>
      </c>
      <c r="J97">
        <f t="shared" si="6"/>
        <v>3.0302302178576896E-2</v>
      </c>
      <c r="K97">
        <f t="shared" si="7"/>
        <v>-3.0302302178576896E-2</v>
      </c>
      <c r="L97" s="7">
        <v>55.752160000000003</v>
      </c>
      <c r="N97" s="14">
        <f t="shared" si="8"/>
        <v>0.35336138823695606</v>
      </c>
      <c r="O97" s="14">
        <f t="shared" si="9"/>
        <v>-0.35336138823695606</v>
      </c>
      <c r="P97" s="14">
        <f t="shared" si="10"/>
        <v>-0.58347072789385712</v>
      </c>
    </row>
    <row r="98" spans="1:16" x14ac:dyDescent="0.3">
      <c r="A98" s="4">
        <v>37257</v>
      </c>
      <c r="B98">
        <v>2002</v>
      </c>
      <c r="C98">
        <v>1</v>
      </c>
      <c r="D98" s="2">
        <v>5.7</v>
      </c>
      <c r="E98" s="5">
        <v>1.36286</v>
      </c>
      <c r="F98" s="5">
        <f t="shared" si="4"/>
        <v>7.0628600000000006</v>
      </c>
      <c r="G98" s="5">
        <f t="shared" si="5"/>
        <v>-0.77821403213504603</v>
      </c>
      <c r="H98" s="5">
        <v>0.61270999999999998</v>
      </c>
      <c r="I98">
        <v>93.1</v>
      </c>
      <c r="J98">
        <f t="shared" si="6"/>
        <v>0.64784515416471622</v>
      </c>
      <c r="K98">
        <f t="shared" si="7"/>
        <v>-0.64784515416471622</v>
      </c>
      <c r="L98" s="7">
        <v>55.6965</v>
      </c>
      <c r="N98" s="14">
        <f t="shared" si="8"/>
        <v>0.98752803907129516</v>
      </c>
      <c r="O98" s="14">
        <f t="shared" si="9"/>
        <v>-0.98752803907129516</v>
      </c>
      <c r="P98" s="14">
        <f t="shared" si="10"/>
        <v>-0.60230999394975271</v>
      </c>
    </row>
    <row r="99" spans="1:16" x14ac:dyDescent="0.3">
      <c r="A99" s="4">
        <v>37347</v>
      </c>
      <c r="B99">
        <v>2002</v>
      </c>
      <c r="C99">
        <v>2</v>
      </c>
      <c r="D99" s="2">
        <v>5.8</v>
      </c>
      <c r="E99" s="5">
        <v>1.0692200000000001</v>
      </c>
      <c r="F99" s="5">
        <f t="shared" si="4"/>
        <v>6.8692200000000003</v>
      </c>
      <c r="G99" s="5">
        <f t="shared" si="5"/>
        <v>-0.83704248872682097</v>
      </c>
      <c r="H99" s="5">
        <v>0.40650999999999998</v>
      </c>
      <c r="I99">
        <v>94.1</v>
      </c>
      <c r="J99">
        <f t="shared" si="6"/>
        <v>0.72503801066298368</v>
      </c>
      <c r="K99">
        <f t="shared" si="7"/>
        <v>-0.72503801066298368</v>
      </c>
      <c r="L99" s="7">
        <v>56.270870000000002</v>
      </c>
      <c r="N99" s="14">
        <f t="shared" si="8"/>
        <v>1.0667988704255875</v>
      </c>
      <c r="O99" s="14">
        <f t="shared" si="9"/>
        <v>-1.0667988704255875</v>
      </c>
      <c r="P99" s="14">
        <f t="shared" si="10"/>
        <v>-0.69170071874915617</v>
      </c>
    </row>
    <row r="100" spans="1:16" x14ac:dyDescent="0.3">
      <c r="A100" s="4">
        <v>37438</v>
      </c>
      <c r="B100">
        <v>2002</v>
      </c>
      <c r="C100">
        <v>3</v>
      </c>
      <c r="D100" s="2">
        <v>5.7</v>
      </c>
      <c r="E100" s="5">
        <v>1.516</v>
      </c>
      <c r="F100" s="5">
        <f t="shared" si="4"/>
        <v>7.2160000000000002</v>
      </c>
      <c r="G100" s="5">
        <f t="shared" si="5"/>
        <v>-0.73168960617726675</v>
      </c>
      <c r="H100" s="5">
        <v>0.12361</v>
      </c>
      <c r="I100">
        <v>87.3</v>
      </c>
      <c r="J100">
        <f t="shared" si="6"/>
        <v>0.20012658647476544</v>
      </c>
      <c r="K100">
        <f t="shared" si="7"/>
        <v>-0.20012658647476544</v>
      </c>
      <c r="L100" s="7">
        <v>56.702599999999997</v>
      </c>
      <c r="N100" s="14">
        <f t="shared" si="8"/>
        <v>0.52775721721639957</v>
      </c>
      <c r="O100" s="14">
        <f t="shared" si="9"/>
        <v>-0.52775721721639957</v>
      </c>
      <c r="P100" s="14">
        <f t="shared" si="10"/>
        <v>-0.53161542879905765</v>
      </c>
    </row>
    <row r="101" spans="1:16" x14ac:dyDescent="0.3">
      <c r="A101" s="4">
        <v>37530</v>
      </c>
      <c r="B101">
        <v>2002</v>
      </c>
      <c r="C101">
        <v>4</v>
      </c>
      <c r="D101" s="2">
        <v>5.9</v>
      </c>
      <c r="E101" s="5">
        <v>2.48027</v>
      </c>
      <c r="F101" s="5">
        <f t="shared" si="4"/>
        <v>8.3802699999999994</v>
      </c>
      <c r="G101" s="5">
        <f t="shared" si="5"/>
        <v>-0.37798062478857819</v>
      </c>
      <c r="H101" s="5">
        <v>0.52664</v>
      </c>
      <c r="I101">
        <v>83.8</v>
      </c>
      <c r="J101">
        <f t="shared" si="6"/>
        <v>-7.0048411269170524E-2</v>
      </c>
      <c r="K101">
        <f t="shared" si="7"/>
        <v>7.0048411269170524E-2</v>
      </c>
      <c r="L101" s="7">
        <v>57.91028</v>
      </c>
      <c r="N101" s="14">
        <f t="shared" si="8"/>
        <v>0.25030930747637614</v>
      </c>
      <c r="O101" s="14">
        <f t="shared" si="9"/>
        <v>-0.25030930747637614</v>
      </c>
      <c r="P101" s="14">
        <f t="shared" si="10"/>
        <v>5.8506895762844022E-3</v>
      </c>
    </row>
    <row r="102" spans="1:16" x14ac:dyDescent="0.3">
      <c r="A102" s="4">
        <v>37622</v>
      </c>
      <c r="B102">
        <v>2003</v>
      </c>
      <c r="C102">
        <v>1</v>
      </c>
      <c r="D102" s="2">
        <v>5.9</v>
      </c>
      <c r="E102" s="5">
        <v>3.02521</v>
      </c>
      <c r="F102" s="5">
        <f t="shared" si="4"/>
        <v>8.9252099999999999</v>
      </c>
      <c r="G102" s="5">
        <f t="shared" si="5"/>
        <v>-0.21242609506785001</v>
      </c>
      <c r="H102" s="5">
        <v>0.88561999999999996</v>
      </c>
      <c r="I102">
        <v>80</v>
      </c>
      <c r="J102">
        <f t="shared" si="6"/>
        <v>-0.36338126596258652</v>
      </c>
      <c r="K102">
        <f t="shared" si="7"/>
        <v>0.36338126596258652</v>
      </c>
      <c r="L102" s="7">
        <v>57.81906</v>
      </c>
      <c r="N102" s="14">
        <f t="shared" si="8"/>
        <v>-5.0919851669934707E-2</v>
      </c>
      <c r="O102" s="14">
        <f t="shared" si="9"/>
        <v>5.0919851669934707E-2</v>
      </c>
      <c r="P102" s="14">
        <f t="shared" si="10"/>
        <v>0.25741328806929659</v>
      </c>
    </row>
    <row r="103" spans="1:16" x14ac:dyDescent="0.3">
      <c r="A103" s="4">
        <v>37712</v>
      </c>
      <c r="B103">
        <v>2003</v>
      </c>
      <c r="C103">
        <v>2</v>
      </c>
      <c r="D103" s="2">
        <v>6.1</v>
      </c>
      <c r="E103" s="5">
        <v>1.94878</v>
      </c>
      <c r="F103" s="5">
        <f t="shared" si="4"/>
        <v>8.0487799999999989</v>
      </c>
      <c r="G103" s="5">
        <f t="shared" si="5"/>
        <v>-0.47868835601976739</v>
      </c>
      <c r="H103" s="5">
        <v>1.6632</v>
      </c>
      <c r="I103">
        <v>89.3</v>
      </c>
      <c r="J103">
        <f t="shared" si="6"/>
        <v>0.35451229947130025</v>
      </c>
      <c r="K103">
        <f t="shared" si="7"/>
        <v>-0.35451229947130025</v>
      </c>
      <c r="L103" s="7">
        <v>58.961010000000002</v>
      </c>
      <c r="N103" s="14">
        <f t="shared" si="8"/>
        <v>0.68629887992498428</v>
      </c>
      <c r="O103" s="14">
        <f t="shared" si="9"/>
        <v>-0.68629887992498428</v>
      </c>
      <c r="P103" s="14">
        <f t="shared" si="10"/>
        <v>-0.1471762230644626</v>
      </c>
    </row>
    <row r="104" spans="1:16" x14ac:dyDescent="0.3">
      <c r="A104" s="4">
        <v>37803</v>
      </c>
      <c r="B104">
        <v>2003</v>
      </c>
      <c r="C104">
        <v>3</v>
      </c>
      <c r="D104" s="2">
        <v>6.1</v>
      </c>
      <c r="E104" s="5">
        <v>2.37832</v>
      </c>
      <c r="F104" s="5">
        <f t="shared" si="4"/>
        <v>8.4783200000000001</v>
      </c>
      <c r="G104" s="5">
        <f t="shared" si="5"/>
        <v>-0.34819271852528777</v>
      </c>
      <c r="H104" s="5">
        <v>1.16072</v>
      </c>
      <c r="I104">
        <v>89.3</v>
      </c>
      <c r="J104">
        <f t="shared" si="6"/>
        <v>0.35451229947130025</v>
      </c>
      <c r="K104">
        <f t="shared" si="7"/>
        <v>-0.35451229947130025</v>
      </c>
      <c r="L104" s="7">
        <v>58.645409999999998</v>
      </c>
      <c r="N104" s="14">
        <f t="shared" si="8"/>
        <v>0.68629887992498428</v>
      </c>
      <c r="O104" s="14">
        <f t="shared" si="9"/>
        <v>-0.68629887992498428</v>
      </c>
      <c r="P104" s="14">
        <f t="shared" si="10"/>
        <v>5.1113861269021191E-2</v>
      </c>
    </row>
    <row r="105" spans="1:16" x14ac:dyDescent="0.3">
      <c r="A105" s="4">
        <v>37895</v>
      </c>
      <c r="B105">
        <v>2003</v>
      </c>
      <c r="C105">
        <v>4</v>
      </c>
      <c r="D105" s="2">
        <v>5.8</v>
      </c>
      <c r="E105" s="5">
        <v>2.0352000000000001</v>
      </c>
      <c r="F105" s="5">
        <f t="shared" si="4"/>
        <v>7.8352000000000004</v>
      </c>
      <c r="G105" s="5">
        <f t="shared" si="5"/>
        <v>-0.54357464892862495</v>
      </c>
      <c r="H105" s="5">
        <v>0.56664999999999999</v>
      </c>
      <c r="I105">
        <v>92</v>
      </c>
      <c r="J105">
        <f t="shared" si="6"/>
        <v>0.56293301201662249</v>
      </c>
      <c r="K105">
        <f t="shared" si="7"/>
        <v>-0.56293301201662249</v>
      </c>
      <c r="L105" s="7">
        <v>59.444659999999999</v>
      </c>
      <c r="N105" s="14">
        <f t="shared" si="8"/>
        <v>0.90033012458157402</v>
      </c>
      <c r="O105" s="14">
        <f t="shared" si="9"/>
        <v>-0.90033012458157402</v>
      </c>
      <c r="P105" s="14">
        <f t="shared" si="10"/>
        <v>-0.24577192128103167</v>
      </c>
    </row>
    <row r="106" spans="1:16" x14ac:dyDescent="0.3">
      <c r="A106" s="4">
        <v>37987</v>
      </c>
      <c r="B106">
        <v>2004</v>
      </c>
      <c r="C106">
        <v>1</v>
      </c>
      <c r="D106" s="2">
        <v>5.7</v>
      </c>
      <c r="E106" s="5">
        <v>1.7400800000000001</v>
      </c>
      <c r="F106" s="5">
        <f t="shared" si="4"/>
        <v>7.44008</v>
      </c>
      <c r="G106" s="5">
        <f t="shared" si="5"/>
        <v>-0.66361337940033593</v>
      </c>
      <c r="H106" s="5">
        <v>0.77495000000000003</v>
      </c>
      <c r="I106">
        <v>98.1</v>
      </c>
      <c r="J106">
        <f t="shared" si="6"/>
        <v>1.0338094366560533</v>
      </c>
      <c r="K106">
        <f t="shared" si="7"/>
        <v>-1.0338094366560533</v>
      </c>
      <c r="L106" s="7">
        <v>59.807099999999998</v>
      </c>
      <c r="N106" s="14">
        <f t="shared" si="8"/>
        <v>1.3838821958427572</v>
      </c>
      <c r="O106" s="14">
        <f t="shared" si="9"/>
        <v>-1.3838821958427572</v>
      </c>
      <c r="P106" s="14">
        <f t="shared" si="10"/>
        <v>-0.42817257808097109</v>
      </c>
    </row>
    <row r="107" spans="1:16" x14ac:dyDescent="0.3">
      <c r="A107" s="4">
        <v>38078</v>
      </c>
      <c r="B107">
        <v>2004</v>
      </c>
      <c r="C107">
        <v>2</v>
      </c>
      <c r="D107" s="2">
        <v>5.6</v>
      </c>
      <c r="E107" s="5">
        <v>3.1676700000000002</v>
      </c>
      <c r="F107" s="5">
        <f t="shared" si="4"/>
        <v>8.767669999999999</v>
      </c>
      <c r="G107" s="5">
        <f t="shared" si="5"/>
        <v>-0.26028725521796497</v>
      </c>
      <c r="H107" s="5">
        <v>0.94859000000000004</v>
      </c>
      <c r="I107">
        <v>93.4</v>
      </c>
      <c r="J107">
        <f t="shared" si="6"/>
        <v>0.67100301111419736</v>
      </c>
      <c r="K107">
        <f t="shared" si="7"/>
        <v>-0.67100301111419736</v>
      </c>
      <c r="L107" s="7">
        <v>60.054870000000001</v>
      </c>
      <c r="N107" s="14">
        <f t="shared" si="8"/>
        <v>1.0113092884775838</v>
      </c>
      <c r="O107" s="14">
        <f t="shared" si="9"/>
        <v>-1.0113092884775838</v>
      </c>
      <c r="P107" s="14">
        <f t="shared" si="10"/>
        <v>0.18468753520367959</v>
      </c>
    </row>
    <row r="108" spans="1:16" x14ac:dyDescent="0.3">
      <c r="A108" s="4">
        <v>38169</v>
      </c>
      <c r="B108">
        <v>2004</v>
      </c>
      <c r="C108">
        <v>3</v>
      </c>
      <c r="D108" s="2">
        <v>5.4</v>
      </c>
      <c r="E108" s="5">
        <v>2.5391699999999999</v>
      </c>
      <c r="F108" s="5">
        <f t="shared" si="4"/>
        <v>7.9391700000000007</v>
      </c>
      <c r="G108" s="5">
        <f t="shared" si="5"/>
        <v>-0.51198822757019258</v>
      </c>
      <c r="H108" s="5">
        <v>1.0202100000000001</v>
      </c>
      <c r="I108">
        <v>95.6</v>
      </c>
      <c r="J108">
        <f t="shared" si="6"/>
        <v>0.84082729541038481</v>
      </c>
      <c r="K108">
        <f t="shared" si="7"/>
        <v>-0.84082729541038481</v>
      </c>
      <c r="L108" s="7">
        <v>59.966430000000003</v>
      </c>
      <c r="N108" s="14">
        <f t="shared" si="8"/>
        <v>1.1857051174570261</v>
      </c>
      <c r="O108" s="14">
        <f t="shared" si="9"/>
        <v>-1.1857051174570261</v>
      </c>
      <c r="P108" s="14">
        <f t="shared" si="10"/>
        <v>-0.19777587884458261</v>
      </c>
    </row>
    <row r="109" spans="1:16" x14ac:dyDescent="0.3">
      <c r="A109" s="4">
        <v>38261</v>
      </c>
      <c r="B109">
        <v>2004</v>
      </c>
      <c r="C109">
        <v>4</v>
      </c>
      <c r="D109" s="2">
        <v>5.4</v>
      </c>
      <c r="E109" s="5">
        <v>3.34232</v>
      </c>
      <c r="F109" s="5">
        <f t="shared" si="4"/>
        <v>8.7423199999999994</v>
      </c>
      <c r="G109" s="5">
        <f t="shared" si="5"/>
        <v>-0.26798866698516938</v>
      </c>
      <c r="H109" s="5">
        <v>1.1093599999999999</v>
      </c>
      <c r="I109">
        <v>93.9</v>
      </c>
      <c r="J109">
        <f t="shared" si="6"/>
        <v>0.70959943936333103</v>
      </c>
      <c r="K109">
        <f t="shared" si="7"/>
        <v>-0.70959943936333103</v>
      </c>
      <c r="L109" s="7">
        <v>60.637129999999999</v>
      </c>
      <c r="N109" s="14">
        <f t="shared" si="8"/>
        <v>1.05094470415473</v>
      </c>
      <c r="O109" s="14">
        <f t="shared" si="9"/>
        <v>-1.05094470415473</v>
      </c>
      <c r="P109" s="14">
        <f t="shared" si="10"/>
        <v>0.17298512416430326</v>
      </c>
    </row>
    <row r="110" spans="1:16" x14ac:dyDescent="0.3">
      <c r="A110" s="4">
        <v>38353</v>
      </c>
      <c r="B110">
        <v>2005</v>
      </c>
      <c r="C110">
        <v>1</v>
      </c>
      <c r="D110" s="2">
        <v>5.3</v>
      </c>
      <c r="E110" s="5">
        <v>3.2068400000000001</v>
      </c>
      <c r="F110" s="5">
        <f t="shared" si="4"/>
        <v>8.5068400000000004</v>
      </c>
      <c r="G110" s="5">
        <f t="shared" si="5"/>
        <v>-0.33952825053315061</v>
      </c>
      <c r="H110" s="5">
        <v>0.49262</v>
      </c>
      <c r="I110">
        <v>94.1</v>
      </c>
      <c r="J110">
        <f t="shared" si="6"/>
        <v>0.72503801066298368</v>
      </c>
      <c r="K110">
        <f t="shared" si="7"/>
        <v>-0.72503801066298368</v>
      </c>
      <c r="L110" s="7">
        <v>60.913020000000003</v>
      </c>
      <c r="N110" s="14">
        <f t="shared" si="8"/>
        <v>1.0667988704255875</v>
      </c>
      <c r="O110" s="14">
        <f t="shared" si="9"/>
        <v>-1.0667988704255875</v>
      </c>
      <c r="P110" s="14">
        <f t="shared" si="10"/>
        <v>6.4279650730284424E-2</v>
      </c>
    </row>
    <row r="111" spans="1:16" x14ac:dyDescent="0.3">
      <c r="A111" s="4">
        <v>38443</v>
      </c>
      <c r="B111">
        <v>2005</v>
      </c>
      <c r="C111">
        <v>2</v>
      </c>
      <c r="D111" s="2">
        <v>5.0999999999999996</v>
      </c>
      <c r="E111" s="5">
        <v>2.5410300000000001</v>
      </c>
      <c r="F111" s="5">
        <f t="shared" si="4"/>
        <v>7.6410299999999998</v>
      </c>
      <c r="G111" s="5">
        <f t="shared" si="5"/>
        <v>-0.6025641212299313</v>
      </c>
      <c r="H111" s="5">
        <v>0.78381000000000001</v>
      </c>
      <c r="I111">
        <v>90.2</v>
      </c>
      <c r="J111">
        <f t="shared" si="6"/>
        <v>0.42398587031974139</v>
      </c>
      <c r="K111">
        <f t="shared" si="7"/>
        <v>-0.42398587031974139</v>
      </c>
      <c r="L111" s="7">
        <v>60.641530000000003</v>
      </c>
      <c r="N111" s="14">
        <f t="shared" si="8"/>
        <v>0.75764262814384797</v>
      </c>
      <c r="O111" s="14">
        <f t="shared" si="9"/>
        <v>-0.75764262814384797</v>
      </c>
      <c r="P111" s="14">
        <f t="shared" si="10"/>
        <v>-0.33540731187336897</v>
      </c>
    </row>
    <row r="112" spans="1:16" x14ac:dyDescent="0.3">
      <c r="A112" s="4">
        <v>38534</v>
      </c>
      <c r="B112">
        <v>2005</v>
      </c>
      <c r="C112">
        <v>3</v>
      </c>
      <c r="D112" s="2">
        <v>5</v>
      </c>
      <c r="E112" s="5">
        <v>4.7418300000000002</v>
      </c>
      <c r="F112" s="5">
        <f t="shared" si="4"/>
        <v>9.7418300000000002</v>
      </c>
      <c r="G112" s="5">
        <f t="shared" si="5"/>
        <v>3.5665694965072929E-2</v>
      </c>
      <c r="H112" s="5">
        <v>0.55552000000000001</v>
      </c>
      <c r="I112">
        <v>87.4</v>
      </c>
      <c r="J112">
        <f t="shared" si="6"/>
        <v>0.20784587212459282</v>
      </c>
      <c r="K112">
        <f t="shared" si="7"/>
        <v>-0.20784587212459282</v>
      </c>
      <c r="L112" s="7">
        <v>60.358559999999997</v>
      </c>
      <c r="N112" s="14">
        <f t="shared" si="8"/>
        <v>0.53568430035182946</v>
      </c>
      <c r="O112" s="14">
        <f t="shared" si="9"/>
        <v>-0.53568430035182946</v>
      </c>
      <c r="P112" s="14">
        <f t="shared" si="10"/>
        <v>0.63439249528727204</v>
      </c>
    </row>
    <row r="113" spans="1:16" x14ac:dyDescent="0.3">
      <c r="A113" s="4">
        <v>38626</v>
      </c>
      <c r="B113">
        <v>2005</v>
      </c>
      <c r="C113">
        <v>4</v>
      </c>
      <c r="D113" s="2">
        <v>5</v>
      </c>
      <c r="E113" s="5">
        <v>3.3385500000000001</v>
      </c>
      <c r="F113" s="5">
        <f t="shared" si="4"/>
        <v>8.3385499999999997</v>
      </c>
      <c r="G113" s="5">
        <f t="shared" si="5"/>
        <v>-0.39065529535772109</v>
      </c>
      <c r="H113" s="5">
        <v>1.34538</v>
      </c>
      <c r="I113">
        <v>82.4</v>
      </c>
      <c r="J113">
        <f t="shared" si="6"/>
        <v>-0.17811841036674425</v>
      </c>
      <c r="K113">
        <f t="shared" si="7"/>
        <v>0.17811841036674425</v>
      </c>
      <c r="L113" s="7">
        <v>61.320079999999997</v>
      </c>
      <c r="N113" s="14">
        <f t="shared" si="8"/>
        <v>0.13933014358036749</v>
      </c>
      <c r="O113" s="14">
        <f t="shared" si="9"/>
        <v>-0.13933014358036749</v>
      </c>
      <c r="P113" s="14">
        <f t="shared" si="10"/>
        <v>-1.3408663029742683E-2</v>
      </c>
    </row>
    <row r="114" spans="1:16" x14ac:dyDescent="0.3">
      <c r="A114" s="4">
        <v>38718</v>
      </c>
      <c r="B114">
        <v>2006</v>
      </c>
      <c r="C114">
        <v>1</v>
      </c>
      <c r="D114" s="2">
        <v>4.7</v>
      </c>
      <c r="E114" s="5">
        <v>3.4179200000000001</v>
      </c>
      <c r="F114" s="5">
        <f t="shared" si="4"/>
        <v>8.1179199999999998</v>
      </c>
      <c r="G114" s="5">
        <f t="shared" si="5"/>
        <v>-0.4576834010065709</v>
      </c>
      <c r="H114" s="5">
        <v>0.25874999999999998</v>
      </c>
      <c r="I114">
        <v>88.9</v>
      </c>
      <c r="J114">
        <f t="shared" si="6"/>
        <v>0.32363515687199396</v>
      </c>
      <c r="K114">
        <f t="shared" si="7"/>
        <v>-0.32363515687199396</v>
      </c>
      <c r="L114" s="7">
        <v>61.556420000000003</v>
      </c>
      <c r="N114" s="14">
        <f t="shared" si="8"/>
        <v>0.65459054738326805</v>
      </c>
      <c r="O114" s="14">
        <f t="shared" si="9"/>
        <v>-0.65459054738326805</v>
      </c>
      <c r="P114" s="14">
        <f t="shared" si="10"/>
        <v>-0.11525887792590228</v>
      </c>
    </row>
    <row r="115" spans="1:16" x14ac:dyDescent="0.3">
      <c r="A115" s="4">
        <v>38808</v>
      </c>
      <c r="B115">
        <v>2006</v>
      </c>
      <c r="C115">
        <v>2</v>
      </c>
      <c r="D115" s="2">
        <v>4.5999999999999996</v>
      </c>
      <c r="E115" s="5">
        <v>4.1817200000000003</v>
      </c>
      <c r="F115" s="5">
        <f t="shared" si="4"/>
        <v>8.78172</v>
      </c>
      <c r="G115" s="5">
        <f t="shared" si="5"/>
        <v>-0.25601881989925757</v>
      </c>
      <c r="H115" s="5">
        <v>0.14996000000000001</v>
      </c>
      <c r="I115">
        <v>83.8</v>
      </c>
      <c r="J115">
        <f t="shared" si="6"/>
        <v>-7.0048411269170524E-2</v>
      </c>
      <c r="K115">
        <f t="shared" si="7"/>
        <v>7.0048411269170524E-2</v>
      </c>
      <c r="L115" s="7">
        <v>61.221420000000002</v>
      </c>
      <c r="N115" s="14">
        <f t="shared" si="8"/>
        <v>0.25030930747637614</v>
      </c>
      <c r="O115" s="14">
        <f t="shared" si="9"/>
        <v>-0.25030930747637614</v>
      </c>
      <c r="P115" s="14">
        <f t="shared" si="10"/>
        <v>0.19117348688428126</v>
      </c>
    </row>
    <row r="116" spans="1:16" x14ac:dyDescent="0.3">
      <c r="A116" s="4">
        <v>38899</v>
      </c>
      <c r="B116">
        <v>2006</v>
      </c>
      <c r="C116">
        <v>3</v>
      </c>
      <c r="D116" s="2">
        <v>4.5999999999999996</v>
      </c>
      <c r="E116" s="5">
        <v>2.01207</v>
      </c>
      <c r="F116" s="5">
        <f t="shared" si="4"/>
        <v>6.6120699999999992</v>
      </c>
      <c r="G116" s="5">
        <f t="shared" si="5"/>
        <v>-0.91516548817205423</v>
      </c>
      <c r="H116" s="5">
        <v>0.85945000000000005</v>
      </c>
      <c r="I116">
        <v>84</v>
      </c>
      <c r="J116">
        <f t="shared" si="6"/>
        <v>-5.4609839969516821E-2</v>
      </c>
      <c r="K116">
        <f t="shared" si="7"/>
        <v>5.4609839969516821E-2</v>
      </c>
      <c r="L116" s="7">
        <v>61.332799999999999</v>
      </c>
      <c r="N116" s="14">
        <f t="shared" si="8"/>
        <v>0.26616347374723487</v>
      </c>
      <c r="O116" s="14">
        <f t="shared" si="9"/>
        <v>-0.26616347374723487</v>
      </c>
      <c r="P116" s="14">
        <f t="shared" si="10"/>
        <v>-0.81040979167916372</v>
      </c>
    </row>
    <row r="117" spans="1:16" x14ac:dyDescent="0.3">
      <c r="A117" s="4">
        <v>38991</v>
      </c>
      <c r="B117">
        <v>2006</v>
      </c>
      <c r="C117">
        <v>4</v>
      </c>
      <c r="D117" s="2">
        <v>4.4000000000000004</v>
      </c>
      <c r="E117" s="5">
        <v>2.5239799999999999</v>
      </c>
      <c r="F117" s="5">
        <f t="shared" si="4"/>
        <v>6.9239800000000002</v>
      </c>
      <c r="G117" s="5">
        <f t="shared" si="5"/>
        <v>-0.82040622409675701</v>
      </c>
      <c r="H117" s="5">
        <v>0.30084</v>
      </c>
      <c r="I117">
        <v>92.5</v>
      </c>
      <c r="J117">
        <f t="shared" si="6"/>
        <v>0.60152944026575628</v>
      </c>
      <c r="K117">
        <f t="shared" si="7"/>
        <v>-0.60152944026575628</v>
      </c>
      <c r="L117" s="7">
        <v>61.826889999999999</v>
      </c>
      <c r="N117" s="14">
        <f t="shared" si="8"/>
        <v>0.93996554025872026</v>
      </c>
      <c r="O117" s="14">
        <f t="shared" si="9"/>
        <v>-0.93996554025872026</v>
      </c>
      <c r="P117" s="14">
        <f t="shared" si="10"/>
        <v>-0.66642166436981654</v>
      </c>
    </row>
    <row r="118" spans="1:16" x14ac:dyDescent="0.3">
      <c r="A118" s="4">
        <v>39083</v>
      </c>
      <c r="B118">
        <v>2007</v>
      </c>
      <c r="C118">
        <v>1</v>
      </c>
      <c r="D118" s="2">
        <v>4.5</v>
      </c>
      <c r="E118" s="5">
        <v>2.7982</v>
      </c>
      <c r="F118" s="5">
        <f t="shared" si="4"/>
        <v>7.2981999999999996</v>
      </c>
      <c r="G118" s="5">
        <f t="shared" si="5"/>
        <v>-0.70671698103863911</v>
      </c>
      <c r="H118" s="5">
        <v>0.61175999999999997</v>
      </c>
      <c r="I118">
        <v>92.2</v>
      </c>
      <c r="J118">
        <f t="shared" si="6"/>
        <v>0.57837158331627625</v>
      </c>
      <c r="K118">
        <f t="shared" si="7"/>
        <v>-0.57837158331627625</v>
      </c>
      <c r="L118" s="7">
        <v>62.252969999999998</v>
      </c>
      <c r="N118" s="14">
        <f t="shared" si="8"/>
        <v>0.91618429085243269</v>
      </c>
      <c r="O118" s="14">
        <f t="shared" si="9"/>
        <v>-0.91618429085243269</v>
      </c>
      <c r="P118" s="14">
        <f t="shared" si="10"/>
        <v>-0.49366914921575411</v>
      </c>
    </row>
    <row r="119" spans="1:16" x14ac:dyDescent="0.3">
      <c r="A119" s="4">
        <v>39173</v>
      </c>
      <c r="B119">
        <v>2007</v>
      </c>
      <c r="C119">
        <v>2</v>
      </c>
      <c r="D119" s="2">
        <v>4.5</v>
      </c>
      <c r="E119" s="5">
        <v>2.6927699999999999</v>
      </c>
      <c r="F119" s="5">
        <f t="shared" si="4"/>
        <v>7.1927699999999994</v>
      </c>
      <c r="G119" s="5">
        <f t="shared" si="5"/>
        <v>-0.73874695510634636</v>
      </c>
      <c r="H119" s="5">
        <v>0.57603000000000004</v>
      </c>
      <c r="I119">
        <v>86.9</v>
      </c>
      <c r="J119">
        <f t="shared" si="6"/>
        <v>0.16924944387545912</v>
      </c>
      <c r="K119">
        <f t="shared" si="7"/>
        <v>-0.16924944387545912</v>
      </c>
      <c r="L119" s="7">
        <v>61.572189999999999</v>
      </c>
      <c r="N119" s="14">
        <f t="shared" si="8"/>
        <v>0.49604888467468328</v>
      </c>
      <c r="O119" s="14">
        <f t="shared" si="9"/>
        <v>-0.49604888467468328</v>
      </c>
      <c r="P119" s="14">
        <f t="shared" si="10"/>
        <v>-0.54233917666669973</v>
      </c>
    </row>
    <row r="120" spans="1:16" x14ac:dyDescent="0.3">
      <c r="A120" s="4">
        <v>39264</v>
      </c>
      <c r="B120">
        <v>2007</v>
      </c>
      <c r="C120">
        <v>3</v>
      </c>
      <c r="D120" s="2">
        <v>4.7</v>
      </c>
      <c r="E120" s="5">
        <v>2.8338299999999998</v>
      </c>
      <c r="F120" s="5">
        <f t="shared" si="4"/>
        <v>7.53383</v>
      </c>
      <c r="G120" s="5">
        <f t="shared" si="5"/>
        <v>-0.63513182700682791</v>
      </c>
      <c r="H120" s="5">
        <v>0.62824000000000002</v>
      </c>
      <c r="I120">
        <v>85.8</v>
      </c>
      <c r="J120">
        <f t="shared" si="6"/>
        <v>8.4337301727364311E-2</v>
      </c>
      <c r="K120">
        <f t="shared" si="7"/>
        <v>-8.4337301727364311E-2</v>
      </c>
      <c r="L120" s="7">
        <v>61.848260000000003</v>
      </c>
      <c r="N120" s="14">
        <f t="shared" si="8"/>
        <v>0.40885097018496097</v>
      </c>
      <c r="O120" s="14">
        <f t="shared" si="9"/>
        <v>-0.40885097018496097</v>
      </c>
      <c r="P120" s="14">
        <f t="shared" si="10"/>
        <v>-0.38489443074599866</v>
      </c>
    </row>
    <row r="121" spans="1:16" x14ac:dyDescent="0.3">
      <c r="A121" s="4">
        <v>39356</v>
      </c>
      <c r="B121">
        <v>2007</v>
      </c>
      <c r="C121">
        <v>4</v>
      </c>
      <c r="D121" s="2">
        <v>4.8</v>
      </c>
      <c r="E121" s="5">
        <v>4.1088100000000001</v>
      </c>
      <c r="F121" s="5">
        <f t="shared" si="4"/>
        <v>8.908809999999999</v>
      </c>
      <c r="G121" s="5">
        <f t="shared" si="5"/>
        <v>-0.21740846796655461</v>
      </c>
      <c r="H121" s="5">
        <v>-0.42675999999999997</v>
      </c>
      <c r="I121">
        <v>77.5</v>
      </c>
      <c r="J121">
        <f t="shared" si="6"/>
        <v>-0.55636340720825506</v>
      </c>
      <c r="K121">
        <f t="shared" si="7"/>
        <v>0.55636340720825506</v>
      </c>
      <c r="L121" s="7">
        <v>62.719239999999999</v>
      </c>
      <c r="N121" s="14">
        <f t="shared" si="8"/>
        <v>-0.24909693005566569</v>
      </c>
      <c r="O121" s="14">
        <f t="shared" si="9"/>
        <v>0.24909693005566569</v>
      </c>
      <c r="P121" s="14">
        <f t="shared" si="10"/>
        <v>0.24984249749549836</v>
      </c>
    </row>
    <row r="122" spans="1:16" x14ac:dyDescent="0.3">
      <c r="A122" s="4">
        <v>39448</v>
      </c>
      <c r="B122">
        <v>2008</v>
      </c>
      <c r="C122">
        <v>1</v>
      </c>
      <c r="D122" s="2">
        <v>5</v>
      </c>
      <c r="E122" s="5">
        <v>3.9748999999999999</v>
      </c>
      <c r="F122" s="5">
        <f t="shared" si="4"/>
        <v>8.9748999999999999</v>
      </c>
      <c r="G122" s="5">
        <f t="shared" si="5"/>
        <v>-0.19733011279122692</v>
      </c>
      <c r="H122" s="5">
        <v>0.59543000000000001</v>
      </c>
      <c r="I122">
        <v>72.900000000000006</v>
      </c>
      <c r="J122">
        <f t="shared" si="6"/>
        <v>-0.91145054710028472</v>
      </c>
      <c r="K122">
        <f t="shared" si="7"/>
        <v>0.91145054710028472</v>
      </c>
      <c r="L122" s="7">
        <v>64.172780000000003</v>
      </c>
      <c r="N122" s="14">
        <f t="shared" si="8"/>
        <v>-0.61374275428541025</v>
      </c>
      <c r="O122" s="14">
        <f t="shared" si="9"/>
        <v>0.61374275428541025</v>
      </c>
      <c r="P122" s="14">
        <f t="shared" si="10"/>
        <v>0.28035186024076092</v>
      </c>
    </row>
    <row r="123" spans="1:16" x14ac:dyDescent="0.3">
      <c r="A123" s="4">
        <v>39539</v>
      </c>
      <c r="B123">
        <v>2008</v>
      </c>
      <c r="C123">
        <v>2</v>
      </c>
      <c r="D123" s="2">
        <v>5.3</v>
      </c>
      <c r="E123" s="5">
        <v>4.9359700000000002</v>
      </c>
      <c r="F123" s="5">
        <f t="shared" si="4"/>
        <v>10.23597</v>
      </c>
      <c r="G123" s="5">
        <f t="shared" si="5"/>
        <v>0.18578702082883874</v>
      </c>
      <c r="H123" s="5">
        <v>-0.52525999999999995</v>
      </c>
      <c r="I123">
        <v>59.6</v>
      </c>
      <c r="J123">
        <f t="shared" si="6"/>
        <v>-1.9381155385272417</v>
      </c>
      <c r="K123">
        <f t="shared" si="7"/>
        <v>1.9381155385272417</v>
      </c>
      <c r="L123" s="7">
        <v>63.85172</v>
      </c>
      <c r="N123" s="14">
        <f t="shared" si="8"/>
        <v>-1.6680448112974995</v>
      </c>
      <c r="O123" s="14">
        <f t="shared" si="9"/>
        <v>1.6680448112974995</v>
      </c>
      <c r="P123" s="14">
        <f t="shared" si="10"/>
        <v>0.86250410834437363</v>
      </c>
    </row>
    <row r="124" spans="1:16" x14ac:dyDescent="0.3">
      <c r="A124" s="4">
        <v>39630</v>
      </c>
      <c r="B124">
        <v>2008</v>
      </c>
      <c r="C124">
        <v>3</v>
      </c>
      <c r="D124" s="2">
        <v>6</v>
      </c>
      <c r="E124" s="5">
        <v>4.9533199999999997</v>
      </c>
      <c r="F124" s="5">
        <f t="shared" si="4"/>
        <v>10.95332</v>
      </c>
      <c r="G124" s="5">
        <f t="shared" si="5"/>
        <v>0.40372026466332372</v>
      </c>
      <c r="H124" s="5">
        <v>-2.1890299999999998</v>
      </c>
      <c r="I124">
        <v>64.8</v>
      </c>
      <c r="J124">
        <f t="shared" si="6"/>
        <v>-1.5367126847362516</v>
      </c>
      <c r="K124">
        <f t="shared" si="7"/>
        <v>1.5367126847362516</v>
      </c>
      <c r="L124" s="7">
        <v>67.284549999999996</v>
      </c>
      <c r="N124" s="14">
        <f t="shared" si="8"/>
        <v>-1.2558364882551794</v>
      </c>
      <c r="O124" s="14">
        <f t="shared" si="9"/>
        <v>1.2558364882551794</v>
      </c>
      <c r="P124" s="14">
        <f t="shared" si="10"/>
        <v>1.1936569509122932</v>
      </c>
    </row>
    <row r="125" spans="1:16" x14ac:dyDescent="0.3">
      <c r="A125" s="4">
        <v>39722</v>
      </c>
      <c r="B125">
        <v>2008</v>
      </c>
      <c r="C125">
        <v>4</v>
      </c>
      <c r="D125" s="2">
        <v>6.9</v>
      </c>
      <c r="E125" s="5">
        <v>-2.223E-2</v>
      </c>
      <c r="F125" s="5">
        <f t="shared" si="4"/>
        <v>6.8777699999999999</v>
      </c>
      <c r="G125" s="5">
        <f t="shared" si="5"/>
        <v>-0.83444497114853311</v>
      </c>
      <c r="H125" s="5">
        <v>-1.13487</v>
      </c>
      <c r="I125">
        <v>57.7</v>
      </c>
      <c r="J125">
        <f t="shared" si="6"/>
        <v>-2.0847819658739497</v>
      </c>
      <c r="K125">
        <f t="shared" si="7"/>
        <v>2.0847819658739497</v>
      </c>
      <c r="L125" s="7">
        <v>73.245149999999995</v>
      </c>
      <c r="N125" s="14">
        <f t="shared" si="8"/>
        <v>-1.8186593908706548</v>
      </c>
      <c r="O125" s="14">
        <f t="shared" si="9"/>
        <v>1.8186593908706548</v>
      </c>
      <c r="P125" s="14">
        <f t="shared" si="10"/>
        <v>-0.68775375171220687</v>
      </c>
    </row>
    <row r="126" spans="1:16" x14ac:dyDescent="0.3">
      <c r="A126" s="4">
        <v>39814</v>
      </c>
      <c r="B126">
        <v>2009</v>
      </c>
      <c r="C126">
        <v>1</v>
      </c>
      <c r="D126" s="2">
        <v>8.3000000000000007</v>
      </c>
      <c r="E126" s="5">
        <v>-0.44647999999999999</v>
      </c>
      <c r="F126" s="5">
        <f t="shared" si="4"/>
        <v>7.8535200000000005</v>
      </c>
      <c r="G126" s="5">
        <f t="shared" si="5"/>
        <v>-0.53800897383690161</v>
      </c>
      <c r="H126" s="5">
        <v>-0.17865</v>
      </c>
      <c r="I126">
        <v>58.3</v>
      </c>
      <c r="J126">
        <f t="shared" si="6"/>
        <v>-2.0384662519749899</v>
      </c>
      <c r="K126">
        <f t="shared" si="7"/>
        <v>2.0384662519749899</v>
      </c>
      <c r="L126" s="7">
        <v>77.104960000000005</v>
      </c>
      <c r="N126" s="14">
        <f t="shared" si="8"/>
        <v>-1.7710968920580799</v>
      </c>
      <c r="O126" s="14">
        <f t="shared" si="9"/>
        <v>1.7710968920580799</v>
      </c>
      <c r="P126" s="14">
        <f t="shared" si="10"/>
        <v>-0.23731479424981353</v>
      </c>
    </row>
    <row r="127" spans="1:16" x14ac:dyDescent="0.3">
      <c r="A127" s="4">
        <v>39904</v>
      </c>
      <c r="B127">
        <v>2009</v>
      </c>
      <c r="C127">
        <v>2</v>
      </c>
      <c r="D127" s="2">
        <v>9.3000000000000007</v>
      </c>
      <c r="E127" s="5">
        <v>-1.2291700000000001</v>
      </c>
      <c r="F127" s="5">
        <f t="shared" si="4"/>
        <v>8.0708300000000008</v>
      </c>
      <c r="G127" s="5">
        <f t="shared" si="5"/>
        <v>-0.47198949489681374</v>
      </c>
      <c r="H127" s="5">
        <v>0.35119</v>
      </c>
      <c r="I127">
        <v>68.2</v>
      </c>
      <c r="J127">
        <f t="shared" si="6"/>
        <v>-1.2742569726421418</v>
      </c>
      <c r="K127">
        <f t="shared" si="7"/>
        <v>1.2742569726421418</v>
      </c>
      <c r="L127" s="7">
        <v>80.28013</v>
      </c>
      <c r="N127" s="14">
        <f t="shared" si="8"/>
        <v>-0.98631566165058471</v>
      </c>
      <c r="O127" s="14">
        <f t="shared" si="9"/>
        <v>0.98631566165058471</v>
      </c>
      <c r="P127" s="14">
        <f t="shared" si="10"/>
        <v>-0.13699720281127623</v>
      </c>
    </row>
    <row r="128" spans="1:16" x14ac:dyDescent="0.3">
      <c r="A128" s="4">
        <v>39995</v>
      </c>
      <c r="B128">
        <v>2009</v>
      </c>
      <c r="C128">
        <v>3</v>
      </c>
      <c r="D128" s="2">
        <v>9.6</v>
      </c>
      <c r="E128" s="5">
        <v>-1.3779399999999999</v>
      </c>
      <c r="F128" s="5">
        <f t="shared" si="4"/>
        <v>8.222059999999999</v>
      </c>
      <c r="G128" s="5">
        <f t="shared" si="5"/>
        <v>-0.42604533309979864</v>
      </c>
      <c r="H128" s="5">
        <v>1.08091</v>
      </c>
      <c r="I128">
        <v>68.400000000000006</v>
      </c>
      <c r="J128">
        <f t="shared" si="6"/>
        <v>-1.2588184013424881</v>
      </c>
      <c r="K128">
        <f t="shared" si="7"/>
        <v>1.2588184013424881</v>
      </c>
      <c r="L128" s="7">
        <v>82.427329999999998</v>
      </c>
      <c r="N128" s="14">
        <f t="shared" si="8"/>
        <v>-0.97046149537972604</v>
      </c>
      <c r="O128" s="14">
        <f t="shared" si="9"/>
        <v>0.97046149537972604</v>
      </c>
      <c r="P128" s="14">
        <f t="shared" si="10"/>
        <v>-6.7184357782286319E-2</v>
      </c>
    </row>
    <row r="129" spans="1:16" x14ac:dyDescent="0.3">
      <c r="A129" s="4">
        <v>40087</v>
      </c>
      <c r="B129">
        <v>2009</v>
      </c>
      <c r="C129">
        <v>4</v>
      </c>
      <c r="D129" s="2">
        <v>9.9</v>
      </c>
      <c r="E129" s="5">
        <v>2.81412</v>
      </c>
      <c r="F129" s="5">
        <f t="shared" si="4"/>
        <v>12.714120000000001</v>
      </c>
      <c r="G129" s="5">
        <f t="shared" si="5"/>
        <v>0.93865698417787258</v>
      </c>
      <c r="H129" s="5">
        <v>0.48449999999999999</v>
      </c>
      <c r="I129">
        <v>70.099999999999994</v>
      </c>
      <c r="J129">
        <f t="shared" si="6"/>
        <v>-1.1275905452954345</v>
      </c>
      <c r="K129">
        <f t="shared" si="7"/>
        <v>1.1275905452954345</v>
      </c>
      <c r="L129" s="7">
        <v>84.029349999999994</v>
      </c>
      <c r="N129" s="14">
        <f t="shared" si="8"/>
        <v>-0.83570108207742988</v>
      </c>
      <c r="O129" s="14">
        <f t="shared" si="9"/>
        <v>0.83570108207742988</v>
      </c>
      <c r="P129" s="14">
        <f t="shared" si="10"/>
        <v>2.0065013437381012</v>
      </c>
    </row>
    <row r="130" spans="1:16" x14ac:dyDescent="0.3">
      <c r="A130" s="4">
        <v>40179</v>
      </c>
      <c r="B130">
        <v>2010</v>
      </c>
      <c r="C130">
        <v>1</v>
      </c>
      <c r="D130" s="2">
        <v>9.8000000000000007</v>
      </c>
      <c r="E130" s="5">
        <v>2.2861699999999998</v>
      </c>
      <c r="F130" s="5">
        <f t="shared" si="4"/>
        <v>12.086170000000001</v>
      </c>
      <c r="G130" s="5">
        <f t="shared" si="5"/>
        <v>0.74788374870583663</v>
      </c>
      <c r="H130" s="5">
        <v>0.96758999999999995</v>
      </c>
      <c r="I130">
        <v>73.900000000000006</v>
      </c>
      <c r="J130">
        <f t="shared" si="6"/>
        <v>-0.83425769060201727</v>
      </c>
      <c r="K130">
        <f t="shared" si="7"/>
        <v>0.83425769060201727</v>
      </c>
      <c r="L130" s="7">
        <v>86.511750000000006</v>
      </c>
      <c r="N130" s="14">
        <f t="shared" si="8"/>
        <v>-0.53447192293111789</v>
      </c>
      <c r="O130" s="14">
        <f t="shared" si="9"/>
        <v>0.53447192293111789</v>
      </c>
      <c r="P130" s="14">
        <f t="shared" si="10"/>
        <v>1.7166185424688112</v>
      </c>
    </row>
    <row r="131" spans="1:16" x14ac:dyDescent="0.3">
      <c r="A131" s="4">
        <v>40269</v>
      </c>
      <c r="B131">
        <v>2010</v>
      </c>
      <c r="C131">
        <v>2</v>
      </c>
      <c r="D131" s="2">
        <v>9.6</v>
      </c>
      <c r="E131" s="5">
        <v>1.1215599999999999</v>
      </c>
      <c r="F131" s="5">
        <f t="shared" ref="F131:F190" si="11">D131+E131</f>
        <v>10.72156</v>
      </c>
      <c r="G131" s="5">
        <f t="shared" ref="G131:G190" si="12">(F131-AVERAGE($F$2:$F$190))/_xlfn.STDEV.P($F$2:$F$190)</f>
        <v>0.33331082911431675</v>
      </c>
      <c r="H131" s="5">
        <v>0.77107999999999999</v>
      </c>
      <c r="I131">
        <v>73.900000000000006</v>
      </c>
      <c r="J131">
        <f t="shared" ref="J131:J191" si="13">(I131-AVERAGE($I$2:$I$189))/_xlfn.STDEV.P($I$2:$I$189)</f>
        <v>-0.83425769060201727</v>
      </c>
      <c r="K131">
        <f t="shared" ref="K131:K153" si="14">-J131</f>
        <v>0.83425769060201727</v>
      </c>
      <c r="L131" s="7">
        <v>88.128320000000002</v>
      </c>
      <c r="N131" s="14">
        <f t="shared" si="8"/>
        <v>-0.53447192293111789</v>
      </c>
      <c r="O131" s="14">
        <f t="shared" si="9"/>
        <v>0.53447192293111789</v>
      </c>
      <c r="P131" s="14">
        <f t="shared" si="10"/>
        <v>1.0866687543645257</v>
      </c>
    </row>
    <row r="132" spans="1:16" x14ac:dyDescent="0.3">
      <c r="A132" s="4">
        <v>40360</v>
      </c>
      <c r="B132">
        <v>2010</v>
      </c>
      <c r="C132">
        <v>3</v>
      </c>
      <c r="D132" s="2">
        <v>9.5</v>
      </c>
      <c r="E132" s="5">
        <v>1.1183099999999999</v>
      </c>
      <c r="F132" s="5">
        <f t="shared" si="11"/>
        <v>10.618309999999999</v>
      </c>
      <c r="G132" s="5">
        <f t="shared" si="12"/>
        <v>0.30194314607826628</v>
      </c>
      <c r="H132" s="5">
        <v>0.52510999999999997</v>
      </c>
      <c r="I132">
        <v>68.3</v>
      </c>
      <c r="J132">
        <f t="shared" si="13"/>
        <v>-1.2665376869923155</v>
      </c>
      <c r="K132">
        <f t="shared" si="14"/>
        <v>1.2665376869923155</v>
      </c>
      <c r="L132" s="7">
        <v>89.565280000000001</v>
      </c>
      <c r="N132" s="14">
        <f t="shared" si="8"/>
        <v>-0.97838857851515593</v>
      </c>
      <c r="O132" s="14">
        <f t="shared" si="9"/>
        <v>0.97838857851515593</v>
      </c>
      <c r="P132" s="14">
        <f t="shared" si="10"/>
        <v>1.0390050880996091</v>
      </c>
    </row>
    <row r="133" spans="1:16" x14ac:dyDescent="0.3">
      <c r="A133" s="4">
        <v>40452</v>
      </c>
      <c r="B133">
        <v>2010</v>
      </c>
      <c r="C133">
        <v>4</v>
      </c>
      <c r="D133" s="2">
        <v>9.5</v>
      </c>
      <c r="E133" s="5">
        <v>1.4377899999999999</v>
      </c>
      <c r="F133" s="5">
        <f t="shared" si="11"/>
        <v>10.93779</v>
      </c>
      <c r="G133" s="5">
        <f t="shared" si="12"/>
        <v>0.39900220057083113</v>
      </c>
      <c r="H133" s="5">
        <v>-0.23719999999999999</v>
      </c>
      <c r="I133">
        <v>71.2</v>
      </c>
      <c r="J133">
        <f t="shared" si="13"/>
        <v>-1.0426784031473395</v>
      </c>
      <c r="K133">
        <f t="shared" si="14"/>
        <v>1.0426784031473395</v>
      </c>
      <c r="L133" s="7">
        <v>91.611339999999998</v>
      </c>
      <c r="N133" s="14">
        <f t="shared" si="8"/>
        <v>-0.74850316758770752</v>
      </c>
      <c r="O133" s="14">
        <f t="shared" si="9"/>
        <v>0.74850316758770752</v>
      </c>
      <c r="P133" s="14">
        <f t="shared" si="10"/>
        <v>1.1864877815457637</v>
      </c>
    </row>
    <row r="134" spans="1:16" x14ac:dyDescent="0.3">
      <c r="A134" s="4">
        <v>40544</v>
      </c>
      <c r="B134">
        <v>2011</v>
      </c>
      <c r="C134">
        <v>1</v>
      </c>
      <c r="D134" s="2">
        <v>9</v>
      </c>
      <c r="E134" s="5">
        <v>2.61924</v>
      </c>
      <c r="F134" s="5">
        <f t="shared" si="11"/>
        <v>11.61924</v>
      </c>
      <c r="G134" s="5">
        <f t="shared" si="12"/>
        <v>0.60602890860876213</v>
      </c>
      <c r="H134" s="5">
        <v>0.67657999999999996</v>
      </c>
      <c r="I134">
        <v>73.099999999999994</v>
      </c>
      <c r="J134">
        <f t="shared" si="13"/>
        <v>-0.89601197580063208</v>
      </c>
      <c r="K134">
        <f t="shared" si="14"/>
        <v>0.89601197580063208</v>
      </c>
      <c r="L134" s="7">
        <v>92.956140000000005</v>
      </c>
      <c r="N134" s="14">
        <f t="shared" si="8"/>
        <v>-0.59788858801455269</v>
      </c>
      <c r="O134" s="14">
        <f t="shared" si="9"/>
        <v>0.59788858801455269</v>
      </c>
      <c r="P134" s="14">
        <f t="shared" si="10"/>
        <v>1.5010679788942114</v>
      </c>
    </row>
    <row r="135" spans="1:16" x14ac:dyDescent="0.3">
      <c r="A135" s="4">
        <v>40634</v>
      </c>
      <c r="B135">
        <v>2011</v>
      </c>
      <c r="C135">
        <v>2</v>
      </c>
      <c r="D135" s="2">
        <v>9.1</v>
      </c>
      <c r="E135" s="5">
        <v>3.5023200000000001</v>
      </c>
      <c r="F135" s="5">
        <f t="shared" si="11"/>
        <v>12.602319999999999</v>
      </c>
      <c r="G135" s="5">
        <f t="shared" si="12"/>
        <v>0.90469178356353375</v>
      </c>
      <c r="H135" s="5">
        <v>-2.231E-2</v>
      </c>
      <c r="I135">
        <v>71.900000000000006</v>
      </c>
      <c r="J135">
        <f t="shared" si="13"/>
        <v>-0.98864340359855218</v>
      </c>
      <c r="K135">
        <f t="shared" si="14"/>
        <v>0.98864340359855218</v>
      </c>
      <c r="L135" s="7">
        <v>92.193799999999996</v>
      </c>
      <c r="N135" s="14">
        <f t="shared" si="8"/>
        <v>-0.69301358563970261</v>
      </c>
      <c r="O135" s="14">
        <f t="shared" si="9"/>
        <v>0.69301358563970261</v>
      </c>
      <c r="P135" s="14">
        <f t="shared" si="10"/>
        <v>1.9548907104362345</v>
      </c>
    </row>
    <row r="136" spans="1:16" x14ac:dyDescent="0.3">
      <c r="A136" s="4">
        <v>40725</v>
      </c>
      <c r="B136">
        <v>2011</v>
      </c>
      <c r="C136">
        <v>3</v>
      </c>
      <c r="D136" s="2">
        <v>9</v>
      </c>
      <c r="E136" s="5">
        <v>3.8126199999999999</v>
      </c>
      <c r="F136" s="5">
        <f t="shared" si="11"/>
        <v>12.812619999999999</v>
      </c>
      <c r="G136" s="5">
        <f t="shared" si="12"/>
        <v>0.96858160189265097</v>
      </c>
      <c r="H136" s="5">
        <v>1.1230500000000001</v>
      </c>
      <c r="I136">
        <v>59.5</v>
      </c>
      <c r="J136">
        <f t="shared" si="13"/>
        <v>-1.9458348241770687</v>
      </c>
      <c r="K136">
        <f t="shared" si="14"/>
        <v>1.9458348241770687</v>
      </c>
      <c r="L136" s="7">
        <v>94.520979999999994</v>
      </c>
      <c r="N136" s="14">
        <f t="shared" si="8"/>
        <v>-1.6759718944329287</v>
      </c>
      <c r="O136" s="14">
        <f t="shared" si="9"/>
        <v>1.6759718944329287</v>
      </c>
      <c r="P136" s="14">
        <f t="shared" si="10"/>
        <v>2.0519722505380447</v>
      </c>
    </row>
    <row r="137" spans="1:16" x14ac:dyDescent="0.3">
      <c r="A137" s="4">
        <v>40817</v>
      </c>
      <c r="B137">
        <v>2011</v>
      </c>
      <c r="C137">
        <v>4</v>
      </c>
      <c r="D137" s="2">
        <v>8.6</v>
      </c>
      <c r="E137" s="5">
        <v>3.0620699999999998</v>
      </c>
      <c r="F137" s="5">
        <f t="shared" si="11"/>
        <v>11.66207</v>
      </c>
      <c r="G137" s="5">
        <f t="shared" si="12"/>
        <v>0.6190408007582443</v>
      </c>
      <c r="H137" s="5">
        <v>0.83858999999999995</v>
      </c>
      <c r="I137">
        <v>64.7</v>
      </c>
      <c r="J137">
        <f t="shared" si="13"/>
        <v>-1.5444319703860778</v>
      </c>
      <c r="K137">
        <f t="shared" si="14"/>
        <v>1.5444319703860778</v>
      </c>
      <c r="L137" s="7">
        <v>96.090720000000005</v>
      </c>
      <c r="N137" s="14">
        <f t="shared" si="8"/>
        <v>-1.2637635713906081</v>
      </c>
      <c r="O137" s="14">
        <f t="shared" si="9"/>
        <v>1.2637635713906081</v>
      </c>
      <c r="P137" s="14">
        <f t="shared" si="10"/>
        <v>1.5208397447646849</v>
      </c>
    </row>
    <row r="138" spans="1:16" x14ac:dyDescent="0.3">
      <c r="A138" s="4">
        <v>40909</v>
      </c>
      <c r="B138">
        <v>2012</v>
      </c>
      <c r="C138">
        <v>1</v>
      </c>
      <c r="D138" s="2">
        <v>8.3000000000000007</v>
      </c>
      <c r="E138" s="5">
        <v>2.5828799999999998</v>
      </c>
      <c r="F138" s="5">
        <f t="shared" si="11"/>
        <v>10.88288</v>
      </c>
      <c r="G138" s="5">
        <f t="shared" si="12"/>
        <v>0.38232036545693765</v>
      </c>
      <c r="H138" s="5">
        <v>0.44633</v>
      </c>
      <c r="I138">
        <v>75.5</v>
      </c>
      <c r="J138">
        <f t="shared" si="13"/>
        <v>-0.71074912020478986</v>
      </c>
      <c r="K138">
        <f t="shared" si="14"/>
        <v>0.71074912020478986</v>
      </c>
      <c r="L138" s="7">
        <v>97.123080000000002</v>
      </c>
      <c r="N138" s="14">
        <f t="shared" si="8"/>
        <v>-0.40763859276425046</v>
      </c>
      <c r="O138" s="14">
        <f t="shared" si="9"/>
        <v>0.40763859276425046</v>
      </c>
      <c r="P138" s="14">
        <f t="shared" si="10"/>
        <v>1.1611394821306884</v>
      </c>
    </row>
    <row r="139" spans="1:16" x14ac:dyDescent="0.3">
      <c r="A139" s="4">
        <v>41000</v>
      </c>
      <c r="B139">
        <v>2012</v>
      </c>
      <c r="C139">
        <v>2</v>
      </c>
      <c r="D139" s="2">
        <v>8.1999999999999993</v>
      </c>
      <c r="E139" s="5">
        <v>1.65387</v>
      </c>
      <c r="F139" s="5">
        <f t="shared" si="11"/>
        <v>9.8538699999999988</v>
      </c>
      <c r="G139" s="5">
        <f t="shared" si="12"/>
        <v>6.9703808353537969E-2</v>
      </c>
      <c r="H139" s="5">
        <v>0.14402999999999999</v>
      </c>
      <c r="I139">
        <v>76.3</v>
      </c>
      <c r="J139">
        <f t="shared" si="13"/>
        <v>-0.64899483500617616</v>
      </c>
      <c r="K139">
        <f t="shared" si="14"/>
        <v>0.64899483500617616</v>
      </c>
      <c r="L139" s="7">
        <v>97.827629999999999</v>
      </c>
      <c r="N139" s="14">
        <f t="shared" si="8"/>
        <v>-0.34422192768081677</v>
      </c>
      <c r="O139" s="14">
        <f t="shared" si="9"/>
        <v>0.34422192768081677</v>
      </c>
      <c r="P139" s="14">
        <f t="shared" si="10"/>
        <v>0.68611392064631471</v>
      </c>
    </row>
    <row r="140" spans="1:16" x14ac:dyDescent="0.3">
      <c r="A140" s="4">
        <v>41091</v>
      </c>
      <c r="B140">
        <v>2012</v>
      </c>
      <c r="C140">
        <v>3</v>
      </c>
      <c r="D140" s="2">
        <v>8</v>
      </c>
      <c r="E140" s="5">
        <v>1.9497199999999999</v>
      </c>
      <c r="F140" s="5">
        <f t="shared" si="11"/>
        <v>9.9497199999999992</v>
      </c>
      <c r="G140" s="5">
        <f t="shared" si="12"/>
        <v>9.8823347520660687E-2</v>
      </c>
      <c r="H140" s="5">
        <v>0.11564000000000001</v>
      </c>
      <c r="I140">
        <v>75</v>
      </c>
      <c r="J140">
        <f t="shared" si="13"/>
        <v>-0.74934554845392354</v>
      </c>
      <c r="K140">
        <f t="shared" si="14"/>
        <v>0.74934554845392354</v>
      </c>
      <c r="L140" s="7">
        <v>98.447869999999995</v>
      </c>
      <c r="N140" s="14">
        <f t="shared" si="8"/>
        <v>-0.4472740084413967</v>
      </c>
      <c r="O140" s="14">
        <f t="shared" si="9"/>
        <v>0.4472740084413967</v>
      </c>
      <c r="P140" s="14">
        <f t="shared" si="10"/>
        <v>0.73036149848159071</v>
      </c>
    </row>
    <row r="141" spans="1:16" x14ac:dyDescent="0.3">
      <c r="A141" s="4">
        <v>41183</v>
      </c>
      <c r="B141">
        <v>2012</v>
      </c>
      <c r="C141">
        <v>4</v>
      </c>
      <c r="D141" s="2">
        <v>7.8</v>
      </c>
      <c r="E141" s="5">
        <v>1.7595000000000001</v>
      </c>
      <c r="F141" s="5">
        <f t="shared" si="11"/>
        <v>9.5594999999999999</v>
      </c>
      <c r="G141" s="5">
        <f t="shared" si="12"/>
        <v>-1.972674714594921E-2</v>
      </c>
      <c r="H141" s="5">
        <v>0.98655999999999999</v>
      </c>
      <c r="I141">
        <v>79.400000000000006</v>
      </c>
      <c r="J141">
        <f t="shared" si="13"/>
        <v>-0.40969697986154652</v>
      </c>
      <c r="K141">
        <f t="shared" si="14"/>
        <v>0.40969697986154652</v>
      </c>
      <c r="L141" s="7">
        <v>100.07496999999999</v>
      </c>
      <c r="N141" s="14">
        <f t="shared" si="8"/>
        <v>-9.8482350482509695E-2</v>
      </c>
      <c r="O141" s="14">
        <f t="shared" si="9"/>
        <v>9.8482350482509695E-2</v>
      </c>
      <c r="P141" s="14">
        <f t="shared" si="10"/>
        <v>0.55022284618235973</v>
      </c>
    </row>
    <row r="142" spans="1:16" x14ac:dyDescent="0.3">
      <c r="A142" s="4">
        <v>41275</v>
      </c>
      <c r="B142">
        <v>2013</v>
      </c>
      <c r="C142">
        <v>1</v>
      </c>
      <c r="D142" s="2">
        <v>7.7</v>
      </c>
      <c r="E142" s="5">
        <v>1.51875</v>
      </c>
      <c r="F142" s="5">
        <f t="shared" si="11"/>
        <v>9.21875</v>
      </c>
      <c r="G142" s="5">
        <f t="shared" si="12"/>
        <v>-0.12324769624555297</v>
      </c>
      <c r="H142" s="5">
        <v>0.26763999999999999</v>
      </c>
      <c r="I142">
        <v>76.7</v>
      </c>
      <c r="J142">
        <f t="shared" si="13"/>
        <v>-0.61811769240686876</v>
      </c>
      <c r="K142">
        <f t="shared" si="14"/>
        <v>0.61811769240686876</v>
      </c>
      <c r="L142" s="7">
        <v>100.73997</v>
      </c>
      <c r="N142" s="14">
        <f t="shared" si="8"/>
        <v>-0.31251359513909938</v>
      </c>
      <c r="O142" s="14">
        <f t="shared" si="9"/>
        <v>0.31251359513909938</v>
      </c>
      <c r="P142" s="14">
        <f t="shared" si="10"/>
        <v>0.39292120666884661</v>
      </c>
    </row>
    <row r="143" spans="1:16" x14ac:dyDescent="0.3">
      <c r="A143" s="4">
        <v>41365</v>
      </c>
      <c r="B143">
        <v>2013</v>
      </c>
      <c r="C143">
        <v>2</v>
      </c>
      <c r="D143" s="2">
        <v>7.5</v>
      </c>
      <c r="E143" s="5">
        <v>1.7157899999999999</v>
      </c>
      <c r="F143" s="5">
        <f t="shared" si="11"/>
        <v>9.2157900000000001</v>
      </c>
      <c r="G143" s="5">
        <f t="shared" si="12"/>
        <v>-0.12414695379312396</v>
      </c>
      <c r="H143" s="5">
        <v>0.85138999999999998</v>
      </c>
      <c r="I143">
        <v>81.7</v>
      </c>
      <c r="J143">
        <f t="shared" si="13"/>
        <v>-0.23215340991553166</v>
      </c>
      <c r="K143">
        <f t="shared" si="14"/>
        <v>0.23215340991553166</v>
      </c>
      <c r="L143" s="7">
        <v>100.05758</v>
      </c>
      <c r="N143" s="14">
        <f t="shared" si="8"/>
        <v>8.3840561632362587E-2</v>
      </c>
      <c r="O143" s="14">
        <f t="shared" si="9"/>
        <v>-8.3840561632362587E-2</v>
      </c>
      <c r="P143" s="14">
        <f t="shared" si="10"/>
        <v>0.39155477129699046</v>
      </c>
    </row>
    <row r="144" spans="1:16" x14ac:dyDescent="0.3">
      <c r="A144" s="4">
        <v>41456</v>
      </c>
      <c r="B144">
        <v>2013</v>
      </c>
      <c r="C144">
        <v>3</v>
      </c>
      <c r="D144" s="2">
        <v>7.2</v>
      </c>
      <c r="E144" s="5">
        <v>1.09473</v>
      </c>
      <c r="F144" s="5">
        <f t="shared" si="11"/>
        <v>8.2947299999999995</v>
      </c>
      <c r="G144" s="5">
        <f t="shared" si="12"/>
        <v>-0.40396795270047875</v>
      </c>
      <c r="H144" s="5">
        <v>0.87173999999999996</v>
      </c>
      <c r="I144">
        <v>81.599999999999994</v>
      </c>
      <c r="J144">
        <f t="shared" si="13"/>
        <v>-0.23987269556535906</v>
      </c>
      <c r="K144">
        <f t="shared" si="14"/>
        <v>0.23987269556535906</v>
      </c>
      <c r="L144" s="7">
        <v>98.727969999999999</v>
      </c>
      <c r="N144" s="14">
        <f t="shared" si="8"/>
        <v>7.5913478496932682E-2</v>
      </c>
      <c r="O144" s="14">
        <f t="shared" si="9"/>
        <v>-7.5913478496932682E-2</v>
      </c>
      <c r="P144" s="14">
        <f t="shared" si="10"/>
        <v>-3.3637446136073348E-2</v>
      </c>
    </row>
    <row r="145" spans="1:16" x14ac:dyDescent="0.3">
      <c r="A145" s="4">
        <v>41548</v>
      </c>
      <c r="B145">
        <v>2013</v>
      </c>
      <c r="C145">
        <v>4</v>
      </c>
      <c r="D145" s="2">
        <v>6.9</v>
      </c>
      <c r="E145" s="5">
        <v>1.51284</v>
      </c>
      <c r="F145" s="5">
        <f t="shared" si="11"/>
        <v>8.412840000000001</v>
      </c>
      <c r="G145" s="5">
        <f t="shared" si="12"/>
        <v>-0.36808575373304114</v>
      </c>
      <c r="H145" s="5">
        <v>-0.34510000000000002</v>
      </c>
      <c r="I145">
        <v>76.900000000000006</v>
      </c>
      <c r="J145">
        <f t="shared" si="13"/>
        <v>-0.602679121107215</v>
      </c>
      <c r="K145">
        <f t="shared" si="14"/>
        <v>0.602679121107215</v>
      </c>
      <c r="L145" s="7">
        <v>99.791179999999997</v>
      </c>
      <c r="N145" s="14">
        <f t="shared" si="8"/>
        <v>-0.29665942886824065</v>
      </c>
      <c r="O145" s="14">
        <f t="shared" si="9"/>
        <v>0.29665942886824065</v>
      </c>
      <c r="P145" s="14">
        <f t="shared" si="10"/>
        <v>2.0886095002419003E-2</v>
      </c>
    </row>
    <row r="146" spans="1:16" x14ac:dyDescent="0.3">
      <c r="A146" s="4">
        <v>41640</v>
      </c>
      <c r="B146">
        <v>2014</v>
      </c>
      <c r="C146">
        <v>1</v>
      </c>
      <c r="D146" s="2">
        <v>6.7</v>
      </c>
      <c r="E146" s="5">
        <v>1.61269</v>
      </c>
      <c r="F146" s="5">
        <f t="shared" si="11"/>
        <v>8.3126899999999999</v>
      </c>
      <c r="G146" s="5">
        <f t="shared" si="12"/>
        <v>-0.39851164676994627</v>
      </c>
      <c r="H146" s="5">
        <v>1.2918400000000001</v>
      </c>
      <c r="I146">
        <v>80.900000000000006</v>
      </c>
      <c r="J146">
        <f t="shared" si="13"/>
        <v>-0.29390769511414538</v>
      </c>
      <c r="K146">
        <f t="shared" si="14"/>
        <v>0.29390769511414538</v>
      </c>
      <c r="L146" s="7">
        <v>102.34617</v>
      </c>
      <c r="N146" s="14">
        <f t="shared" si="8"/>
        <v>2.0423896548928899E-2</v>
      </c>
      <c r="O146" s="14">
        <f t="shared" si="9"/>
        <v>-2.0423896548928899E-2</v>
      </c>
      <c r="P146" s="14">
        <f t="shared" si="10"/>
        <v>-2.5346507190621374E-2</v>
      </c>
    </row>
    <row r="147" spans="1:16" x14ac:dyDescent="0.3">
      <c r="A147" s="4">
        <v>41730</v>
      </c>
      <c r="B147">
        <v>2014</v>
      </c>
      <c r="C147">
        <v>2</v>
      </c>
      <c r="D147" s="2">
        <v>6.2</v>
      </c>
      <c r="E147" s="5">
        <v>2.05898</v>
      </c>
      <c r="F147" s="5">
        <f t="shared" si="11"/>
        <v>8.2589800000000011</v>
      </c>
      <c r="G147" s="5">
        <f t="shared" si="12"/>
        <v>-0.41482891801320265</v>
      </c>
      <c r="H147" s="5">
        <v>1.21539</v>
      </c>
      <c r="I147">
        <v>82.8</v>
      </c>
      <c r="J147">
        <f t="shared" si="13"/>
        <v>-0.14724126776743796</v>
      </c>
      <c r="K147">
        <f t="shared" si="14"/>
        <v>0.14724126776743796</v>
      </c>
      <c r="L147" s="7">
        <v>100.65130000000001</v>
      </c>
      <c r="N147" s="14">
        <f t="shared" si="8"/>
        <v>0.17103847612208378</v>
      </c>
      <c r="O147" s="14">
        <f t="shared" si="9"/>
        <v>-0.17103847612208378</v>
      </c>
      <c r="P147" s="14">
        <f t="shared" si="10"/>
        <v>-5.0140846319808766E-2</v>
      </c>
    </row>
    <row r="148" spans="1:16" x14ac:dyDescent="0.3">
      <c r="A148" s="4">
        <v>41821</v>
      </c>
      <c r="B148">
        <v>2014</v>
      </c>
      <c r="C148">
        <v>3</v>
      </c>
      <c r="D148" s="2">
        <v>6.1</v>
      </c>
      <c r="E148" s="5">
        <v>1.68405</v>
      </c>
      <c r="F148" s="5">
        <f t="shared" si="11"/>
        <v>7.7840499999999997</v>
      </c>
      <c r="G148" s="5">
        <f t="shared" si="12"/>
        <v>-0.55911418391452317</v>
      </c>
      <c r="H148" s="5">
        <v>0.50573000000000001</v>
      </c>
      <c r="I148">
        <v>83</v>
      </c>
      <c r="J148">
        <f t="shared" si="13"/>
        <v>-0.13180269646778425</v>
      </c>
      <c r="K148">
        <f t="shared" si="14"/>
        <v>0.13180269646778425</v>
      </c>
      <c r="L148" s="7">
        <v>100.11145</v>
      </c>
      <c r="N148" s="14">
        <f t="shared" si="8"/>
        <v>0.18689264239294248</v>
      </c>
      <c r="O148" s="14">
        <f t="shared" si="9"/>
        <v>-0.18689264239294248</v>
      </c>
      <c r="P148" s="14">
        <f t="shared" si="10"/>
        <v>-0.26938447846699293</v>
      </c>
    </row>
    <row r="149" spans="1:16" x14ac:dyDescent="0.3">
      <c r="A149" s="4">
        <v>41913</v>
      </c>
      <c r="B149">
        <v>2014</v>
      </c>
      <c r="C149">
        <v>4</v>
      </c>
      <c r="D149" s="2">
        <v>5.7</v>
      </c>
      <c r="E149" s="5">
        <v>0.65312000000000003</v>
      </c>
      <c r="F149" s="5">
        <f t="shared" si="11"/>
        <v>6.3531200000000005</v>
      </c>
      <c r="G149" s="5">
        <f t="shared" si="12"/>
        <v>-0.99383533342324204</v>
      </c>
      <c r="H149" s="5">
        <v>0.90047999999999995</v>
      </c>
      <c r="I149">
        <v>89.8</v>
      </c>
      <c r="J149">
        <f t="shared" si="13"/>
        <v>0.39310872772043398</v>
      </c>
      <c r="K149">
        <f t="shared" si="14"/>
        <v>-0.39310872772043398</v>
      </c>
      <c r="L149" s="7">
        <v>101.2805</v>
      </c>
      <c r="N149" s="14">
        <f t="shared" si="8"/>
        <v>0.72593429560213052</v>
      </c>
      <c r="O149" s="14">
        <f t="shared" si="9"/>
        <v>-0.72593429560213052</v>
      </c>
      <c r="P149" s="14">
        <f t="shared" si="10"/>
        <v>-0.92994980503800162</v>
      </c>
    </row>
    <row r="150" spans="1:16" x14ac:dyDescent="0.3">
      <c r="A150" s="4">
        <v>42005</v>
      </c>
      <c r="B150">
        <v>2015</v>
      </c>
      <c r="C150">
        <v>1</v>
      </c>
      <c r="D150" s="2">
        <v>5.5</v>
      </c>
      <c r="E150" s="5">
        <v>-2.2030000000000001E-2</v>
      </c>
      <c r="F150" s="5">
        <f t="shared" si="11"/>
        <v>5.47797</v>
      </c>
      <c r="G150" s="5">
        <f t="shared" si="12"/>
        <v>-1.2597087262464799</v>
      </c>
      <c r="H150" s="5">
        <v>0.61941000000000002</v>
      </c>
      <c r="I150">
        <v>95.5</v>
      </c>
      <c r="J150">
        <f t="shared" si="13"/>
        <v>0.83310800976055843</v>
      </c>
      <c r="K150">
        <f t="shared" si="14"/>
        <v>-0.83310800976055843</v>
      </c>
      <c r="L150" s="7">
        <v>100.49009</v>
      </c>
      <c r="N150" s="14">
        <f t="shared" si="8"/>
        <v>1.1777780343215973</v>
      </c>
      <c r="O150" s="14">
        <f t="shared" si="9"/>
        <v>-1.1777780343215973</v>
      </c>
      <c r="P150" s="14">
        <f t="shared" si="10"/>
        <v>-1.3339484252001472</v>
      </c>
    </row>
    <row r="151" spans="1:16" x14ac:dyDescent="0.3">
      <c r="A151" s="4">
        <v>42095</v>
      </c>
      <c r="B151">
        <v>2015</v>
      </c>
      <c r="C151">
        <v>2</v>
      </c>
      <c r="D151" s="2">
        <v>5.4</v>
      </c>
      <c r="E151" s="5">
        <v>0.17957000000000001</v>
      </c>
      <c r="F151" s="5">
        <f t="shared" si="11"/>
        <v>5.5795700000000004</v>
      </c>
      <c r="G151" s="5">
        <f t="shared" si="12"/>
        <v>-1.2288423185325554</v>
      </c>
      <c r="H151" s="5">
        <v>0.40024999999999999</v>
      </c>
      <c r="I151">
        <v>94.2</v>
      </c>
      <c r="J151">
        <f t="shared" si="13"/>
        <v>0.73275729631281106</v>
      </c>
      <c r="K151">
        <f t="shared" si="14"/>
        <v>-0.73275729631281106</v>
      </c>
      <c r="L151" s="7">
        <v>99.300939999999997</v>
      </c>
      <c r="N151" s="14">
        <f t="shared" si="8"/>
        <v>1.0747259535610174</v>
      </c>
      <c r="O151" s="14">
        <f t="shared" si="9"/>
        <v>-1.0747259535610174</v>
      </c>
      <c r="P151" s="14">
        <f t="shared" si="10"/>
        <v>-1.2870464543283262</v>
      </c>
    </row>
    <row r="152" spans="1:16" x14ac:dyDescent="0.3">
      <c r="A152" s="4">
        <v>42186</v>
      </c>
      <c r="B152">
        <v>2015</v>
      </c>
      <c r="C152">
        <v>3</v>
      </c>
      <c r="D152" s="2">
        <v>5.0999999999999996</v>
      </c>
      <c r="E152" s="5">
        <v>8.8400000000000006E-3</v>
      </c>
      <c r="F152" s="5">
        <f t="shared" si="11"/>
        <v>5.1088399999999998</v>
      </c>
      <c r="G152" s="5">
        <f t="shared" si="12"/>
        <v>-1.3718516108866465</v>
      </c>
      <c r="H152" s="5">
        <v>0.18448000000000001</v>
      </c>
      <c r="I152">
        <v>90.8</v>
      </c>
      <c r="J152">
        <f t="shared" si="13"/>
        <v>0.47030158421870139</v>
      </c>
      <c r="K152">
        <f t="shared" si="14"/>
        <v>-0.47030158421870139</v>
      </c>
      <c r="L152" s="7">
        <v>98.635949999999994</v>
      </c>
      <c r="N152" s="14">
        <f t="shared" si="8"/>
        <v>0.80520512695642288</v>
      </c>
      <c r="O152" s="14">
        <f t="shared" si="9"/>
        <v>-0.80520512695642288</v>
      </c>
      <c r="P152" s="14">
        <f t="shared" si="10"/>
        <v>-1.5043512254749032</v>
      </c>
    </row>
    <row r="153" spans="1:16" x14ac:dyDescent="0.3">
      <c r="A153" s="4">
        <v>42278</v>
      </c>
      <c r="B153">
        <v>2015</v>
      </c>
      <c r="C153">
        <v>4</v>
      </c>
      <c r="D153" s="2">
        <v>5</v>
      </c>
      <c r="E153" s="5">
        <v>0.63871999999999995</v>
      </c>
      <c r="F153" s="5">
        <f t="shared" si="11"/>
        <v>5.6387200000000002</v>
      </c>
      <c r="G153" s="5">
        <f t="shared" si="12"/>
        <v>-1.2108723577424116</v>
      </c>
      <c r="H153" s="5">
        <v>0.57952000000000004</v>
      </c>
      <c r="I153">
        <v>91.3</v>
      </c>
      <c r="J153">
        <f t="shared" si="13"/>
        <v>0.50889801246783506</v>
      </c>
      <c r="K153">
        <f t="shared" si="14"/>
        <v>-0.50889801246783506</v>
      </c>
      <c r="L153" s="7">
        <v>102.64192</v>
      </c>
      <c r="N153" s="14">
        <f t="shared" si="8"/>
        <v>0.84484054263356911</v>
      </c>
      <c r="O153" s="14">
        <f t="shared" si="9"/>
        <v>-0.84484054263356911</v>
      </c>
      <c r="P153" s="14">
        <f t="shared" si="10"/>
        <v>-1.2597408285697811</v>
      </c>
    </row>
    <row r="154" spans="1:16" x14ac:dyDescent="0.3">
      <c r="A154" s="4">
        <v>42370</v>
      </c>
      <c r="B154">
        <v>2016</v>
      </c>
      <c r="C154">
        <v>1</v>
      </c>
      <c r="D154" s="2">
        <v>4.9000000000000004</v>
      </c>
      <c r="E154" s="5">
        <v>0.89161999999999997</v>
      </c>
      <c r="F154" s="5">
        <f t="shared" si="11"/>
        <v>5.79162</v>
      </c>
      <c r="G154" s="5">
        <f t="shared" si="12"/>
        <v>-1.1644208445587596</v>
      </c>
      <c r="H154" s="5">
        <v>0.32112000000000002</v>
      </c>
      <c r="I154">
        <v>91.5</v>
      </c>
      <c r="J154">
        <f t="shared" si="13"/>
        <v>0.52433658376748882</v>
      </c>
      <c r="K154">
        <f>-J154</f>
        <v>-0.52433658376748882</v>
      </c>
      <c r="L154" s="7">
        <v>103.98904</v>
      </c>
      <c r="N154" s="14">
        <f t="shared" si="8"/>
        <v>0.86069470890442779</v>
      </c>
      <c r="O154" s="14">
        <f t="shared" si="9"/>
        <v>-0.86069470890442779</v>
      </c>
      <c r="P154" s="14">
        <f t="shared" si="10"/>
        <v>-1.1891570554762634</v>
      </c>
    </row>
    <row r="155" spans="1:16" x14ac:dyDescent="0.3">
      <c r="A155" s="4">
        <v>42461</v>
      </c>
      <c r="B155">
        <v>2016</v>
      </c>
      <c r="C155">
        <v>2</v>
      </c>
      <c r="D155" s="2">
        <v>4.9000000000000004</v>
      </c>
      <c r="E155" s="5">
        <v>1.0792900000000001</v>
      </c>
      <c r="F155" s="5">
        <f t="shared" si="11"/>
        <v>5.9792900000000007</v>
      </c>
      <c r="G155" s="5">
        <f t="shared" si="12"/>
        <v>-1.1074060932234031</v>
      </c>
      <c r="H155" s="5">
        <v>0.70938999999999997</v>
      </c>
      <c r="I155">
        <v>92.4</v>
      </c>
      <c r="J155">
        <f t="shared" si="13"/>
        <v>0.5938101546159299</v>
      </c>
      <c r="K155">
        <f t="shared" ref="K155:K191" si="15">-J155</f>
        <v>-0.5938101546159299</v>
      </c>
      <c r="L155" s="7">
        <v>103.58005</v>
      </c>
      <c r="N155" s="14">
        <f t="shared" ref="N155:N190" si="16">(I155-$N$193)/$N$194</f>
        <v>0.93203845712329147</v>
      </c>
      <c r="O155" s="14">
        <f t="shared" ref="O155:O190" si="17">-N155</f>
        <v>-0.93203845712329147</v>
      </c>
      <c r="P155" s="14">
        <f>(F155-$P$193)/$P$194</f>
        <v>-1.1025222830991508</v>
      </c>
    </row>
    <row r="156" spans="1:16" x14ac:dyDescent="0.3">
      <c r="A156" s="4">
        <v>42552</v>
      </c>
      <c r="B156">
        <v>2016</v>
      </c>
      <c r="C156">
        <v>3</v>
      </c>
      <c r="D156" s="2">
        <v>4.9000000000000004</v>
      </c>
      <c r="E156" s="5">
        <v>1.54864</v>
      </c>
      <c r="F156" s="5">
        <f t="shared" si="11"/>
        <v>6.4486400000000001</v>
      </c>
      <c r="G156" s="5">
        <f t="shared" si="12"/>
        <v>-0.96481604932054477</v>
      </c>
      <c r="H156" s="5">
        <v>0.55430000000000001</v>
      </c>
      <c r="I156">
        <v>90.3</v>
      </c>
      <c r="J156">
        <f t="shared" si="13"/>
        <v>0.43170515596956771</v>
      </c>
      <c r="K156">
        <f t="shared" si="15"/>
        <v>-0.43170515596956771</v>
      </c>
      <c r="L156" s="7">
        <v>103.60355</v>
      </c>
      <c r="N156" s="14">
        <f t="shared" si="16"/>
        <v>0.76556971127927675</v>
      </c>
      <c r="O156" s="14">
        <f t="shared" si="17"/>
        <v>-0.76556971127927675</v>
      </c>
      <c r="P156" s="14">
        <f>(F156-$P$193)/$P$194</f>
        <v>-0.88585456628134507</v>
      </c>
    </row>
    <row r="157" spans="1:16" x14ac:dyDescent="0.3">
      <c r="A157" s="4">
        <v>42644</v>
      </c>
      <c r="B157">
        <v>2016</v>
      </c>
      <c r="C157">
        <v>4</v>
      </c>
      <c r="D157" s="2">
        <v>4.8</v>
      </c>
      <c r="E157" s="5">
        <v>2.0508000000000002</v>
      </c>
      <c r="F157" s="5">
        <f t="shared" si="11"/>
        <v>6.8507999999999996</v>
      </c>
      <c r="G157" s="5">
        <f t="shared" si="12"/>
        <v>-0.84263854414109762</v>
      </c>
      <c r="H157" s="5">
        <v>0.48688999999999999</v>
      </c>
      <c r="I157">
        <v>93.2</v>
      </c>
      <c r="J157">
        <f t="shared" si="13"/>
        <v>0.6555644398145436</v>
      </c>
      <c r="K157">
        <f t="shared" si="15"/>
        <v>-0.6555644398145436</v>
      </c>
      <c r="L157" s="7">
        <v>104.64891</v>
      </c>
      <c r="N157" s="14">
        <f t="shared" si="16"/>
        <v>0.99545512220672516</v>
      </c>
      <c r="O157" s="14">
        <f t="shared" si="17"/>
        <v>-0.99545512220672516</v>
      </c>
      <c r="P157" s="14">
        <f>(F157-$P$193)/$P$194</f>
        <v>-0.70020400913753189</v>
      </c>
    </row>
    <row r="158" spans="1:16" x14ac:dyDescent="0.3">
      <c r="A158" s="4">
        <v>42736</v>
      </c>
      <c r="B158">
        <v>2017</v>
      </c>
      <c r="C158">
        <v>1</v>
      </c>
      <c r="D158" s="2">
        <v>4.5999999999999996</v>
      </c>
      <c r="E158" s="5">
        <v>2.4411999999999998</v>
      </c>
      <c r="F158" s="5">
        <f t="shared" si="11"/>
        <v>7.0411999999999999</v>
      </c>
      <c r="G158" s="5">
        <f t="shared" si="12"/>
        <v>-0.78479441000004235</v>
      </c>
      <c r="H158" s="5">
        <v>0.55986999999999998</v>
      </c>
      <c r="I158">
        <v>97.2</v>
      </c>
      <c r="J158">
        <f t="shared" si="13"/>
        <v>0.96433586580761332</v>
      </c>
      <c r="K158">
        <f t="shared" si="15"/>
        <v>-0.96433586580761332</v>
      </c>
      <c r="L158" s="7">
        <v>102.93741</v>
      </c>
      <c r="N158" s="14">
        <f t="shared" si="16"/>
        <v>1.3125384476238946</v>
      </c>
      <c r="O158" s="14">
        <f t="shared" si="17"/>
        <v>-1.3125384476238946</v>
      </c>
      <c r="P158" s="14">
        <f>(F158-$P$193)/$P$194</f>
        <v>-0.61230897711002508</v>
      </c>
    </row>
    <row r="159" spans="1:16" x14ac:dyDescent="0.3">
      <c r="A159" s="4">
        <v>42826</v>
      </c>
      <c r="B159">
        <v>2017</v>
      </c>
      <c r="C159">
        <v>2</v>
      </c>
      <c r="D159" s="2">
        <v>4.4000000000000004</v>
      </c>
      <c r="E159" s="5">
        <v>1.6405700000000001</v>
      </c>
      <c r="F159" s="5">
        <f t="shared" si="11"/>
        <v>6.0405700000000007</v>
      </c>
      <c r="G159" s="5">
        <f t="shared" si="12"/>
        <v>-1.0887890315628785</v>
      </c>
      <c r="H159" s="5">
        <v>0.78852</v>
      </c>
      <c r="I159">
        <v>96.4</v>
      </c>
      <c r="J159">
        <f t="shared" si="13"/>
        <v>0.90258158060899962</v>
      </c>
      <c r="K159">
        <f t="shared" si="15"/>
        <v>-0.90258158060899962</v>
      </c>
      <c r="L159" s="7">
        <v>102.08817000000001</v>
      </c>
      <c r="N159" s="14">
        <f t="shared" si="16"/>
        <v>1.249121782540461</v>
      </c>
      <c r="O159" s="14">
        <f t="shared" si="17"/>
        <v>-1.249121782540461</v>
      </c>
      <c r="P159" s="14">
        <f>(F159-$P$193)/$P$194</f>
        <v>-1.074233377833155</v>
      </c>
    </row>
    <row r="160" spans="1:16" x14ac:dyDescent="0.3">
      <c r="A160" s="4">
        <v>42917</v>
      </c>
      <c r="B160">
        <v>2017</v>
      </c>
      <c r="C160">
        <v>3</v>
      </c>
      <c r="D160" s="2">
        <v>4.3</v>
      </c>
      <c r="E160" s="5">
        <v>2.1805699999999999</v>
      </c>
      <c r="F160" s="5">
        <f t="shared" si="11"/>
        <v>6.4805700000000002</v>
      </c>
      <c r="G160" s="5">
        <f t="shared" si="12"/>
        <v>-0.95511561232934783</v>
      </c>
      <c r="H160" s="5">
        <v>1.1270500000000001</v>
      </c>
      <c r="I160">
        <v>95.1</v>
      </c>
      <c r="J160">
        <f t="shared" si="13"/>
        <v>0.80223086716125103</v>
      </c>
      <c r="K160">
        <f t="shared" si="15"/>
        <v>-0.80223086716125103</v>
      </c>
      <c r="L160" s="7">
        <v>102.80463</v>
      </c>
      <c r="N160" s="14">
        <f t="shared" si="16"/>
        <v>1.14606970177988</v>
      </c>
      <c r="O160" s="14">
        <f t="shared" si="17"/>
        <v>-1.14606970177988</v>
      </c>
      <c r="P160" s="14">
        <f>(F160-$P$193)/$P$194</f>
        <v>-0.87111460634101789</v>
      </c>
    </row>
    <row r="161" spans="1:16" x14ac:dyDescent="0.3">
      <c r="A161" s="4">
        <v>43009</v>
      </c>
      <c r="B161">
        <v>2017</v>
      </c>
      <c r="C161">
        <v>4</v>
      </c>
      <c r="D161" s="2">
        <v>4.2</v>
      </c>
      <c r="E161" s="5">
        <v>2.1299299999999999</v>
      </c>
      <c r="F161" s="5">
        <f t="shared" si="11"/>
        <v>6.3299300000000001</v>
      </c>
      <c r="G161" s="5">
        <f t="shared" si="12"/>
        <v>-1.0008805302233004</v>
      </c>
      <c r="H161" s="5">
        <v>0.81340999999999997</v>
      </c>
      <c r="I161">
        <v>98.4</v>
      </c>
      <c r="J161">
        <f t="shared" si="13"/>
        <v>1.0569672936055345</v>
      </c>
      <c r="K161">
        <f t="shared" si="15"/>
        <v>-1.0569672936055345</v>
      </c>
      <c r="L161" s="7">
        <v>102.27408</v>
      </c>
      <c r="N161" s="14">
        <f t="shared" si="16"/>
        <v>1.4076634452490457</v>
      </c>
      <c r="O161" s="14">
        <f t="shared" si="17"/>
        <v>-1.4076634452490457</v>
      </c>
      <c r="P161" s="14">
        <f>(F161-$P$193)/$P$194</f>
        <v>-0.9406550875627806</v>
      </c>
    </row>
    <row r="162" spans="1:16" x14ac:dyDescent="0.3">
      <c r="A162" s="4">
        <v>43101</v>
      </c>
      <c r="B162">
        <v>2018</v>
      </c>
      <c r="C162">
        <v>1</v>
      </c>
      <c r="D162" s="2">
        <v>4</v>
      </c>
      <c r="E162" s="5">
        <v>2.3309500000000001</v>
      </c>
      <c r="F162" s="5">
        <f t="shared" si="11"/>
        <v>6.3309499999999996</v>
      </c>
      <c r="G162" s="5">
        <f t="shared" si="12"/>
        <v>-1.000570650933259</v>
      </c>
      <c r="H162" s="5">
        <v>0.53083000000000002</v>
      </c>
      <c r="I162">
        <v>98.9</v>
      </c>
      <c r="J162">
        <f t="shared" si="13"/>
        <v>1.0955637218546681</v>
      </c>
      <c r="K162">
        <f t="shared" si="15"/>
        <v>-1.0955637218546681</v>
      </c>
      <c r="L162" s="7">
        <v>103.74395</v>
      </c>
      <c r="N162" s="14">
        <f t="shared" si="16"/>
        <v>1.4472988609261921</v>
      </c>
      <c r="O162" s="14">
        <f t="shared" si="17"/>
        <v>-1.4472988609261921</v>
      </c>
      <c r="P162" s="14">
        <f>(F162-$P$193)/$P$194</f>
        <v>-0.9401842213197763</v>
      </c>
    </row>
    <row r="163" spans="1:16" x14ac:dyDescent="0.3">
      <c r="A163" s="4">
        <v>43191</v>
      </c>
      <c r="B163">
        <v>2018</v>
      </c>
      <c r="C163">
        <v>2</v>
      </c>
      <c r="D163" s="2">
        <v>3.9</v>
      </c>
      <c r="E163" s="5">
        <v>2.80755</v>
      </c>
      <c r="F163" s="5">
        <f t="shared" si="11"/>
        <v>6.7075499999999995</v>
      </c>
      <c r="G163" s="5">
        <f t="shared" si="12"/>
        <v>-0.88615835619837791</v>
      </c>
      <c r="H163" s="5">
        <v>0.62370000000000003</v>
      </c>
      <c r="I163">
        <v>98.3</v>
      </c>
      <c r="J163">
        <f t="shared" si="13"/>
        <v>1.0492480079557069</v>
      </c>
      <c r="K163">
        <f t="shared" si="15"/>
        <v>-1.0492480079557069</v>
      </c>
      <c r="L163" s="7">
        <v>102.98411</v>
      </c>
      <c r="N163" s="14">
        <f t="shared" si="16"/>
        <v>1.3997363621136159</v>
      </c>
      <c r="O163" s="14">
        <f t="shared" si="17"/>
        <v>-1.3997363621136159</v>
      </c>
      <c r="P163" s="14">
        <f>(F163-$P$193)/$P$194</f>
        <v>-0.76633301826536981</v>
      </c>
    </row>
    <row r="164" spans="1:16" x14ac:dyDescent="0.3">
      <c r="A164" s="4">
        <v>43282</v>
      </c>
      <c r="B164">
        <v>2018</v>
      </c>
      <c r="C164">
        <v>3</v>
      </c>
      <c r="D164" s="2">
        <v>3.8</v>
      </c>
      <c r="E164" s="5">
        <v>2.3320599999999998</v>
      </c>
      <c r="F164" s="5">
        <f t="shared" si="11"/>
        <v>6.1320599999999992</v>
      </c>
      <c r="G164" s="5">
        <f t="shared" si="12"/>
        <v>-1.0609940744590707</v>
      </c>
      <c r="H164" s="5">
        <v>0.14163999999999999</v>
      </c>
      <c r="I164">
        <v>98.1</v>
      </c>
      <c r="J164">
        <f t="shared" si="13"/>
        <v>1.0338094366560533</v>
      </c>
      <c r="K164">
        <f t="shared" si="15"/>
        <v>-1.0338094366560533</v>
      </c>
      <c r="L164" s="7">
        <v>103.44889999999999</v>
      </c>
      <c r="N164" s="14">
        <f t="shared" si="16"/>
        <v>1.3838821958427572</v>
      </c>
      <c r="O164" s="14">
        <f t="shared" si="17"/>
        <v>-1.3838821958427572</v>
      </c>
      <c r="P164" s="14">
        <f>(F164-$P$193)/$P$194</f>
        <v>-1.0319985223699382</v>
      </c>
    </row>
    <row r="165" spans="1:16" x14ac:dyDescent="0.3">
      <c r="A165" s="4">
        <v>43374</v>
      </c>
      <c r="B165">
        <v>2018</v>
      </c>
      <c r="C165">
        <v>4</v>
      </c>
      <c r="D165" s="2">
        <v>3.8</v>
      </c>
      <c r="E165" s="5">
        <v>2.00238</v>
      </c>
      <c r="F165" s="5">
        <f t="shared" si="11"/>
        <v>5.8023799999999994</v>
      </c>
      <c r="G165" s="5">
        <f t="shared" si="12"/>
        <v>-1.161151921852049</v>
      </c>
      <c r="H165" s="5">
        <v>0.62431999999999999</v>
      </c>
      <c r="I165">
        <v>98.2</v>
      </c>
      <c r="J165">
        <f t="shared" si="13"/>
        <v>1.0415287223058807</v>
      </c>
      <c r="K165">
        <f t="shared" si="15"/>
        <v>-1.0415287223058807</v>
      </c>
      <c r="L165" s="7">
        <v>105.04940999999999</v>
      </c>
      <c r="N165" s="14">
        <f t="shared" si="16"/>
        <v>1.3918092789781871</v>
      </c>
      <c r="O165" s="14">
        <f t="shared" si="17"/>
        <v>-1.3918092789781871</v>
      </c>
      <c r="P165" s="14">
        <f>(F165-$P$193)/$P$194</f>
        <v>-1.1841898782461378</v>
      </c>
    </row>
    <row r="166" spans="1:16" x14ac:dyDescent="0.3">
      <c r="A166" s="4">
        <v>43466</v>
      </c>
      <c r="B166">
        <v>2019</v>
      </c>
      <c r="C166">
        <v>1</v>
      </c>
      <c r="D166" s="2">
        <v>3.9</v>
      </c>
      <c r="E166" s="5">
        <v>1.8831899999999999</v>
      </c>
      <c r="F166" s="5">
        <f t="shared" si="11"/>
        <v>5.7831899999999994</v>
      </c>
      <c r="G166" s="5">
        <f t="shared" si="12"/>
        <v>-1.1669819057499839</v>
      </c>
      <c r="H166" s="5">
        <v>0.83514999999999995</v>
      </c>
      <c r="I166">
        <v>94.5</v>
      </c>
      <c r="J166">
        <f t="shared" si="13"/>
        <v>0.75591515326229108</v>
      </c>
      <c r="K166">
        <f t="shared" si="15"/>
        <v>-0.75591515326229108</v>
      </c>
      <c r="L166" s="7">
        <v>104.34017</v>
      </c>
      <c r="N166" s="14">
        <f t="shared" si="16"/>
        <v>1.0985072029673051</v>
      </c>
      <c r="O166" s="14">
        <f t="shared" si="17"/>
        <v>-1.0985072029673051</v>
      </c>
      <c r="P166" s="14">
        <f>(F166-$P$193)/$P$194</f>
        <v>-1.1930486264846243</v>
      </c>
    </row>
    <row r="167" spans="1:16" x14ac:dyDescent="0.3">
      <c r="A167" s="4">
        <v>43556</v>
      </c>
      <c r="B167">
        <v>2019</v>
      </c>
      <c r="C167">
        <v>2</v>
      </c>
      <c r="D167" s="2">
        <v>3.6</v>
      </c>
      <c r="E167" s="5">
        <v>1.67119</v>
      </c>
      <c r="F167" s="5">
        <f t="shared" si="11"/>
        <v>5.2711899999999998</v>
      </c>
      <c r="G167" s="5">
        <f t="shared" si="12"/>
        <v>-1.322529157221729</v>
      </c>
      <c r="H167" s="5">
        <v>1.17</v>
      </c>
      <c r="I167">
        <v>98.4</v>
      </c>
      <c r="J167">
        <f t="shared" si="13"/>
        <v>1.0569672936055345</v>
      </c>
      <c r="K167">
        <f t="shared" si="15"/>
        <v>-1.0569672936055345</v>
      </c>
      <c r="L167" s="7">
        <v>102.92245</v>
      </c>
      <c r="N167" s="14">
        <f t="shared" si="16"/>
        <v>1.4076634452490457</v>
      </c>
      <c r="O167" s="14">
        <f t="shared" si="17"/>
        <v>-1.4076634452490457</v>
      </c>
      <c r="P167" s="14">
        <f>(F167-$P$193)/$P$194</f>
        <v>-1.4294050151300202</v>
      </c>
    </row>
    <row r="168" spans="1:16" x14ac:dyDescent="0.3">
      <c r="A168" s="4">
        <v>43647</v>
      </c>
      <c r="B168">
        <v>2019</v>
      </c>
      <c r="C168">
        <v>3</v>
      </c>
      <c r="D168" s="2">
        <v>3.6</v>
      </c>
      <c r="E168" s="5">
        <v>1.6845000000000001</v>
      </c>
      <c r="F168" s="5">
        <f t="shared" si="11"/>
        <v>5.2845000000000004</v>
      </c>
      <c r="G168" s="5">
        <f t="shared" si="12"/>
        <v>-1.3184855362899144</v>
      </c>
      <c r="H168" s="5">
        <v>0.68188000000000004</v>
      </c>
      <c r="I168">
        <v>93.8</v>
      </c>
      <c r="J168">
        <f t="shared" si="13"/>
        <v>0.70188015371350365</v>
      </c>
      <c r="K168">
        <f t="shared" si="15"/>
        <v>-0.70188015371350365</v>
      </c>
      <c r="L168" s="7">
        <v>104.61492</v>
      </c>
      <c r="N168" s="14">
        <f t="shared" si="16"/>
        <v>1.0430176210193001</v>
      </c>
      <c r="O168" s="14">
        <f t="shared" si="17"/>
        <v>-1.0430176210193001</v>
      </c>
      <c r="P168" s="14">
        <f>(F168-$P$193)/$P$194</f>
        <v>-1.4232606722923828</v>
      </c>
    </row>
    <row r="169" spans="1:16" x14ac:dyDescent="0.3">
      <c r="A169" s="4">
        <v>43739</v>
      </c>
      <c r="B169">
        <v>2019</v>
      </c>
      <c r="C169">
        <v>4</v>
      </c>
      <c r="D169" s="2">
        <v>3.6</v>
      </c>
      <c r="E169" s="5">
        <v>2.3195299999999999</v>
      </c>
      <c r="F169" s="5">
        <f t="shared" si="11"/>
        <v>5.91953</v>
      </c>
      <c r="G169" s="5">
        <f t="shared" si="12"/>
        <v>-1.125561373981121</v>
      </c>
      <c r="H169" s="5">
        <v>-1.3924399999999999</v>
      </c>
      <c r="I169">
        <v>97.2</v>
      </c>
      <c r="J169">
        <f t="shared" si="13"/>
        <v>0.96433586580761332</v>
      </c>
      <c r="K169">
        <f t="shared" si="15"/>
        <v>-0.96433586580761332</v>
      </c>
      <c r="L169" s="7">
        <v>105.78193</v>
      </c>
      <c r="N169" s="14">
        <f t="shared" si="16"/>
        <v>1.3125384476238946</v>
      </c>
      <c r="O169" s="14">
        <f t="shared" si="17"/>
        <v>-1.3125384476238946</v>
      </c>
      <c r="P169" s="14">
        <f>(F169-$P$193)/$P$194</f>
        <v>-1.1301095053363559</v>
      </c>
    </row>
    <row r="170" spans="1:16" x14ac:dyDescent="0.3">
      <c r="A170" s="4">
        <v>43831</v>
      </c>
      <c r="B170">
        <v>2020</v>
      </c>
      <c r="C170">
        <v>1</v>
      </c>
      <c r="D170" s="2">
        <v>3.8</v>
      </c>
      <c r="E170" s="5">
        <v>1.49404</v>
      </c>
      <c r="F170" s="5">
        <f t="shared" si="11"/>
        <v>5.2940399999999999</v>
      </c>
      <c r="G170" s="5">
        <f t="shared" si="12"/>
        <v>-1.3155872535183513</v>
      </c>
      <c r="H170" s="5">
        <v>-7.9089700000000001</v>
      </c>
      <c r="I170">
        <v>96.4</v>
      </c>
      <c r="J170">
        <f t="shared" si="13"/>
        <v>0.90258158060899962</v>
      </c>
      <c r="K170">
        <f t="shared" si="15"/>
        <v>-0.90258158060899962</v>
      </c>
      <c r="L170" s="7">
        <v>106.88594999999999</v>
      </c>
      <c r="N170" s="14">
        <f t="shared" si="16"/>
        <v>1.249121782540461</v>
      </c>
      <c r="O170" s="14">
        <f t="shared" si="17"/>
        <v>-1.249121782540461</v>
      </c>
      <c r="P170" s="14">
        <f>(F170-$P$193)/$P$194</f>
        <v>-1.4188566880195763</v>
      </c>
    </row>
    <row r="171" spans="1:16" x14ac:dyDescent="0.3">
      <c r="A171" s="4">
        <v>43922</v>
      </c>
      <c r="B171">
        <v>2020</v>
      </c>
      <c r="C171">
        <v>2</v>
      </c>
      <c r="D171" s="2">
        <v>13</v>
      </c>
      <c r="E171" s="5">
        <v>0.71665999999999996</v>
      </c>
      <c r="F171" s="5">
        <f t="shared" si="11"/>
        <v>13.716659999999999</v>
      </c>
      <c r="G171" s="5">
        <f t="shared" si="12"/>
        <v>1.2432318699014722</v>
      </c>
      <c r="H171" s="5">
        <v>7.8302300000000002</v>
      </c>
      <c r="I171">
        <v>74</v>
      </c>
      <c r="J171">
        <f t="shared" si="13"/>
        <v>-0.826538404952191</v>
      </c>
      <c r="K171">
        <f t="shared" si="15"/>
        <v>0.826538404952191</v>
      </c>
      <c r="L171" s="7">
        <v>132.81489999999999</v>
      </c>
      <c r="N171" s="14">
        <f t="shared" si="16"/>
        <v>-0.52654483979568911</v>
      </c>
      <c r="O171" s="14">
        <f t="shared" si="17"/>
        <v>0.52654483979568911</v>
      </c>
      <c r="P171" s="14">
        <f>(F171-$P$193)/$P$194</f>
        <v>2.4693074645829354</v>
      </c>
    </row>
    <row r="172" spans="1:16" x14ac:dyDescent="0.3">
      <c r="A172" s="4">
        <v>44013</v>
      </c>
      <c r="B172">
        <v>2020</v>
      </c>
      <c r="C172">
        <v>3</v>
      </c>
      <c r="D172" s="2">
        <v>8.8000000000000007</v>
      </c>
      <c r="E172" s="5">
        <v>1.3910199999999999</v>
      </c>
      <c r="F172" s="5">
        <f t="shared" si="11"/>
        <v>10.19102</v>
      </c>
      <c r="G172" s="5">
        <f t="shared" si="12"/>
        <v>0.17213106584123142</v>
      </c>
      <c r="H172" s="5">
        <v>1.08473</v>
      </c>
      <c r="I172">
        <v>75.599999999999994</v>
      </c>
      <c r="J172">
        <f t="shared" si="13"/>
        <v>-0.7030298345549636</v>
      </c>
      <c r="K172">
        <f t="shared" si="15"/>
        <v>0.7030298345549636</v>
      </c>
      <c r="L172" s="7">
        <v>124.26076999999999</v>
      </c>
      <c r="N172" s="14">
        <f t="shared" si="16"/>
        <v>-0.39971150962882168</v>
      </c>
      <c r="O172" s="14">
        <f t="shared" si="17"/>
        <v>0.39971150962882168</v>
      </c>
      <c r="P172" s="14">
        <f>(F172-$P$193)/$P$194</f>
        <v>0.84175367930216549</v>
      </c>
    </row>
    <row r="173" spans="1:16" x14ac:dyDescent="0.3">
      <c r="A173" s="4">
        <v>44105</v>
      </c>
      <c r="B173">
        <v>2020</v>
      </c>
      <c r="C173">
        <v>4</v>
      </c>
      <c r="D173" s="2">
        <v>6.8</v>
      </c>
      <c r="E173" s="5">
        <v>1.3204199999999999</v>
      </c>
      <c r="F173" s="5">
        <f t="shared" si="11"/>
        <v>8.1204199999999993</v>
      </c>
      <c r="G173" s="5">
        <f t="shared" si="12"/>
        <v>-0.45692389294274421</v>
      </c>
      <c r="H173" s="5">
        <v>1.38019</v>
      </c>
      <c r="I173">
        <v>79.8</v>
      </c>
      <c r="J173">
        <f t="shared" si="13"/>
        <v>-0.37881983726224022</v>
      </c>
      <c r="K173">
        <f t="shared" si="15"/>
        <v>0.37881983726224022</v>
      </c>
      <c r="L173" s="7">
        <v>125.73334</v>
      </c>
      <c r="N173" s="14">
        <f t="shared" si="16"/>
        <v>-6.6774017940793406E-2</v>
      </c>
      <c r="O173" s="14">
        <f t="shared" si="17"/>
        <v>6.6774017940793406E-2</v>
      </c>
      <c r="P173" s="14">
        <f>(F173-$P$193)/$P$194</f>
        <v>-0.11410479399696991</v>
      </c>
    </row>
    <row r="174" spans="1:16" x14ac:dyDescent="0.3">
      <c r="A174" s="4">
        <v>44197</v>
      </c>
      <c r="B174">
        <v>2021</v>
      </c>
      <c r="C174">
        <v>1</v>
      </c>
      <c r="D174" s="2">
        <v>6.2</v>
      </c>
      <c r="E174" s="5">
        <v>2.62365</v>
      </c>
      <c r="F174" s="5">
        <f t="shared" si="11"/>
        <v>8.8236500000000007</v>
      </c>
      <c r="G174" s="5">
        <f t="shared" si="12"/>
        <v>-0.24328035065275294</v>
      </c>
      <c r="H174" s="5">
        <v>1.5700400000000001</v>
      </c>
      <c r="I174">
        <v>80.2</v>
      </c>
      <c r="J174">
        <f t="shared" si="13"/>
        <v>-0.34794269466293282</v>
      </c>
      <c r="K174">
        <f t="shared" si="15"/>
        <v>0.34794269466293282</v>
      </c>
      <c r="L174" s="7">
        <v>124.16837</v>
      </c>
      <c r="N174" s="14">
        <f t="shared" si="16"/>
        <v>-3.5065685399076001E-2</v>
      </c>
      <c r="O174" s="14">
        <f t="shared" si="17"/>
        <v>3.5065685399076001E-2</v>
      </c>
      <c r="P174" s="14">
        <f>(F174-$P$193)/$P$194</f>
        <v>0.21052978254033911</v>
      </c>
    </row>
    <row r="175" spans="1:16" x14ac:dyDescent="0.3">
      <c r="A175" s="4">
        <v>44287</v>
      </c>
      <c r="B175">
        <v>2021</v>
      </c>
      <c r="C175">
        <v>2</v>
      </c>
      <c r="D175" s="2">
        <v>5.9</v>
      </c>
      <c r="E175" s="5">
        <v>5.3174200000000003</v>
      </c>
      <c r="F175" s="5">
        <f t="shared" si="11"/>
        <v>11.217420000000001</v>
      </c>
      <c r="G175" s="5">
        <f t="shared" si="12"/>
        <v>0.4839546965259956</v>
      </c>
      <c r="H175" s="5">
        <v>0.85285</v>
      </c>
      <c r="I175">
        <v>85.6</v>
      </c>
      <c r="J175">
        <f t="shared" si="13"/>
        <v>6.8898730427710608E-2</v>
      </c>
      <c r="K175">
        <f t="shared" si="15"/>
        <v>-6.8898730427710608E-2</v>
      </c>
      <c r="L175" s="7">
        <v>122.08313</v>
      </c>
      <c r="N175" s="14">
        <f t="shared" si="16"/>
        <v>0.39299680391410224</v>
      </c>
      <c r="O175" s="14">
        <f t="shared" si="17"/>
        <v>-0.39299680391410224</v>
      </c>
      <c r="P175" s="14">
        <f>(F175-$P$193)/$P$194</f>
        <v>1.3155743771647332</v>
      </c>
    </row>
    <row r="176" spans="1:16" x14ac:dyDescent="0.3">
      <c r="A176" s="4">
        <v>44378</v>
      </c>
      <c r="B176">
        <v>2021</v>
      </c>
      <c r="C176">
        <v>3</v>
      </c>
      <c r="D176" s="2">
        <v>5.0999999999999996</v>
      </c>
      <c r="E176" s="5">
        <v>5.3635200000000003</v>
      </c>
      <c r="F176" s="5">
        <f t="shared" si="11"/>
        <v>10.463519999999999</v>
      </c>
      <c r="G176" s="5">
        <f t="shared" si="12"/>
        <v>0.25491744479836109</v>
      </c>
      <c r="H176" s="5">
        <v>1.8031600000000001</v>
      </c>
      <c r="I176">
        <v>74.8</v>
      </c>
      <c r="J176">
        <f t="shared" si="13"/>
        <v>-0.7647841197535773</v>
      </c>
      <c r="K176">
        <f t="shared" si="15"/>
        <v>0.7647841197535773</v>
      </c>
      <c r="L176" s="7">
        <v>118.84010000000001</v>
      </c>
      <c r="N176" s="14">
        <f t="shared" si="16"/>
        <v>-0.46312817471225537</v>
      </c>
      <c r="O176" s="14">
        <f t="shared" si="17"/>
        <v>0.46312817471225537</v>
      </c>
      <c r="P176" s="14">
        <f>(F176-$P$193)/$P$194</f>
        <v>0.96754882755581817</v>
      </c>
    </row>
    <row r="177" spans="1:16" x14ac:dyDescent="0.3">
      <c r="A177" s="4">
        <v>44470</v>
      </c>
      <c r="B177">
        <v>2021</v>
      </c>
      <c r="C177">
        <v>4</v>
      </c>
      <c r="D177" s="2">
        <v>4.2</v>
      </c>
      <c r="E177" s="5">
        <v>7.1594600000000002</v>
      </c>
      <c r="F177" s="5">
        <f t="shared" si="11"/>
        <v>11.35946</v>
      </c>
      <c r="G177" s="5">
        <f t="shared" si="12"/>
        <v>0.52710690668038351</v>
      </c>
      <c r="H177" s="5">
        <v>-0.25745000000000001</v>
      </c>
      <c r="I177">
        <v>69.900000000000006</v>
      </c>
      <c r="J177">
        <f t="shared" si="13"/>
        <v>-1.143029116595087</v>
      </c>
      <c r="K177">
        <f t="shared" si="15"/>
        <v>1.143029116595087</v>
      </c>
      <c r="L177" s="7">
        <v>119.53493</v>
      </c>
      <c r="N177" s="14">
        <f t="shared" si="16"/>
        <v>-0.85155524834828744</v>
      </c>
      <c r="O177" s="14">
        <f t="shared" si="17"/>
        <v>0.85155524834828744</v>
      </c>
      <c r="P177" s="14">
        <f>(F177-$P$193)/$P$194</f>
        <v>1.3811448096709675</v>
      </c>
    </row>
    <row r="178" spans="1:16" x14ac:dyDescent="0.3">
      <c r="A178" s="4">
        <v>44562</v>
      </c>
      <c r="B178">
        <v>2022</v>
      </c>
      <c r="C178">
        <v>1</v>
      </c>
      <c r="D178" s="2">
        <v>3.8</v>
      </c>
      <c r="E178" s="5">
        <v>8.5407799999999998</v>
      </c>
      <c r="F178" s="5">
        <f t="shared" si="11"/>
        <v>12.340779999999999</v>
      </c>
      <c r="G178" s="5">
        <f t="shared" si="12"/>
        <v>0.82523508795822076</v>
      </c>
      <c r="H178" s="5">
        <v>7.0180000000000006E-2</v>
      </c>
      <c r="I178">
        <v>63.1</v>
      </c>
      <c r="J178">
        <f t="shared" si="13"/>
        <v>-1.6679405407833057</v>
      </c>
      <c r="K178">
        <f t="shared" si="15"/>
        <v>1.6679405407833057</v>
      </c>
      <c r="L178" s="7">
        <v>120.56462000000001</v>
      </c>
      <c r="N178" s="14">
        <f t="shared" si="16"/>
        <v>-1.390596901557476</v>
      </c>
      <c r="O178" s="14">
        <f t="shared" si="17"/>
        <v>1.390596901557476</v>
      </c>
      <c r="P178" s="14">
        <f>(F178-$P$193)/$P$194</f>
        <v>1.8341550661270218</v>
      </c>
    </row>
    <row r="179" spans="1:16" x14ac:dyDescent="0.3">
      <c r="A179" s="4">
        <v>44652</v>
      </c>
      <c r="B179">
        <v>2022</v>
      </c>
      <c r="C179">
        <v>2</v>
      </c>
      <c r="D179" s="2">
        <v>3.6</v>
      </c>
      <c r="E179" s="5">
        <v>8.9992999999999999</v>
      </c>
      <c r="F179" s="5">
        <f t="shared" si="11"/>
        <v>12.599299999999999</v>
      </c>
      <c r="G179" s="5">
        <f t="shared" si="12"/>
        <v>0.90377429782243102</v>
      </c>
      <c r="H179" s="5">
        <v>0.67320999999999998</v>
      </c>
      <c r="I179">
        <v>57.8</v>
      </c>
      <c r="J179">
        <f t="shared" si="13"/>
        <v>-2.0770626802241234</v>
      </c>
      <c r="K179">
        <f t="shared" si="15"/>
        <v>2.0770626802241234</v>
      </c>
      <c r="L179" s="7">
        <v>118.45629</v>
      </c>
      <c r="N179" s="14">
        <f t="shared" si="16"/>
        <v>-1.810732307735226</v>
      </c>
      <c r="O179" s="14">
        <f t="shared" si="17"/>
        <v>1.810732307735226</v>
      </c>
      <c r="P179" s="14">
        <f>(F179-$P$193)/$P$194</f>
        <v>1.9534965770500843</v>
      </c>
    </row>
    <row r="180" spans="1:16" x14ac:dyDescent="0.3">
      <c r="A180" s="4">
        <v>44743</v>
      </c>
      <c r="B180">
        <v>2022</v>
      </c>
      <c r="C180">
        <v>3</v>
      </c>
      <c r="D180" s="2">
        <v>3.5</v>
      </c>
      <c r="E180" s="5">
        <v>8.2057500000000001</v>
      </c>
      <c r="F180" s="5">
        <f t="shared" si="11"/>
        <v>11.70575</v>
      </c>
      <c r="G180" s="5">
        <f t="shared" si="12"/>
        <v>0.6323109256494277</v>
      </c>
      <c r="H180" s="5">
        <v>0.82782999999999995</v>
      </c>
      <c r="I180">
        <v>56.1</v>
      </c>
      <c r="J180">
        <f t="shared" si="13"/>
        <v>-2.2082905362711776</v>
      </c>
      <c r="K180">
        <f t="shared" si="15"/>
        <v>2.2082905362711776</v>
      </c>
      <c r="L180" s="7">
        <v>117.72571000000001</v>
      </c>
      <c r="N180" s="14">
        <f t="shared" si="16"/>
        <v>-1.9454927210375228</v>
      </c>
      <c r="O180" s="14">
        <f t="shared" si="17"/>
        <v>1.9454927210375228</v>
      </c>
      <c r="P180" s="14">
        <f>(F180-$P$193)/$P$194</f>
        <v>1.5410038991709953</v>
      </c>
    </row>
    <row r="181" spans="1:16" x14ac:dyDescent="0.3">
      <c r="A181" s="4">
        <v>44835</v>
      </c>
      <c r="B181">
        <v>2022</v>
      </c>
      <c r="C181">
        <v>4</v>
      </c>
      <c r="D181" s="2">
        <v>3.6</v>
      </c>
      <c r="E181" s="5">
        <v>6.4108299999999998</v>
      </c>
      <c r="F181" s="5">
        <f t="shared" si="11"/>
        <v>10.01083</v>
      </c>
      <c r="G181" s="5">
        <f t="shared" si="12"/>
        <v>0.1173887626328453</v>
      </c>
      <c r="H181" s="5">
        <v>0.69203999999999999</v>
      </c>
      <c r="I181">
        <v>58.8</v>
      </c>
      <c r="J181">
        <f t="shared" si="13"/>
        <v>-1.9998698237258561</v>
      </c>
      <c r="K181">
        <f t="shared" si="15"/>
        <v>1.9998698237258561</v>
      </c>
      <c r="L181" s="7">
        <v>117.52585999999999</v>
      </c>
      <c r="N181" s="14">
        <f t="shared" si="16"/>
        <v>-1.7314614763809337</v>
      </c>
      <c r="O181" s="14">
        <f t="shared" si="17"/>
        <v>1.7314614763809337</v>
      </c>
      <c r="P181" s="14">
        <f>(F181-$P$193)/$P$194</f>
        <v>0.75857192604041968</v>
      </c>
    </row>
    <row r="182" spans="1:16" x14ac:dyDescent="0.3">
      <c r="A182" s="4">
        <v>44927</v>
      </c>
      <c r="B182">
        <v>2023</v>
      </c>
      <c r="C182">
        <v>1</v>
      </c>
      <c r="D182" s="2">
        <v>3.5</v>
      </c>
      <c r="E182" s="5">
        <v>4.9313500000000001</v>
      </c>
      <c r="F182" s="5">
        <f t="shared" si="11"/>
        <v>8.4313500000000001</v>
      </c>
      <c r="G182" s="5">
        <f t="shared" si="12"/>
        <v>-0.36246235602846716</v>
      </c>
      <c r="H182" s="5">
        <v>0.60697000000000001</v>
      </c>
      <c r="I182">
        <v>64.599999999999994</v>
      </c>
      <c r="J182">
        <f t="shared" si="13"/>
        <v>-1.5521512560359052</v>
      </c>
      <c r="K182">
        <f t="shared" si="15"/>
        <v>1.5521512560359052</v>
      </c>
      <c r="L182" s="7">
        <v>115.80777</v>
      </c>
      <c r="N182" s="14">
        <f t="shared" si="16"/>
        <v>-1.271690654526038</v>
      </c>
      <c r="O182" s="14">
        <f t="shared" si="17"/>
        <v>1.271690654526038</v>
      </c>
      <c r="P182" s="14">
        <f>(F182-$P$193)/$P$194</f>
        <v>2.9430932412235562E-2</v>
      </c>
    </row>
    <row r="183" spans="1:16" x14ac:dyDescent="0.3">
      <c r="A183" s="4">
        <v>45017</v>
      </c>
      <c r="B183">
        <v>2023</v>
      </c>
      <c r="C183">
        <v>2</v>
      </c>
      <c r="D183" s="2">
        <v>3.5</v>
      </c>
      <c r="E183" s="5">
        <v>3.05925</v>
      </c>
      <c r="F183" s="5">
        <f t="shared" si="11"/>
        <v>6.5592500000000005</v>
      </c>
      <c r="G183" s="5">
        <f t="shared" si="12"/>
        <v>-0.93121237454458816</v>
      </c>
      <c r="H183" s="5">
        <v>1.07152</v>
      </c>
      <c r="I183">
        <v>62.3</v>
      </c>
      <c r="J183">
        <f t="shared" si="13"/>
        <v>-1.72969482598192</v>
      </c>
      <c r="K183">
        <f t="shared" si="15"/>
        <v>1.72969482598192</v>
      </c>
      <c r="L183" s="7">
        <v>117.76969</v>
      </c>
      <c r="N183" s="14">
        <f t="shared" si="16"/>
        <v>-1.4540135666409102</v>
      </c>
      <c r="O183" s="14">
        <f t="shared" si="17"/>
        <v>1.4540135666409102</v>
      </c>
      <c r="P183" s="14">
        <f>(F183-$P$193)/$P$194</f>
        <v>-0.834793276929651</v>
      </c>
    </row>
    <row r="184" spans="1:16" x14ac:dyDescent="0.3">
      <c r="A184" s="4">
        <v>45108</v>
      </c>
      <c r="B184">
        <v>2023</v>
      </c>
      <c r="C184">
        <v>3</v>
      </c>
      <c r="D184" s="2">
        <v>3.7</v>
      </c>
      <c r="E184" s="5">
        <v>3.6950799999999999</v>
      </c>
      <c r="F184" s="5">
        <f t="shared" si="11"/>
        <v>7.3950800000000001</v>
      </c>
      <c r="G184" s="5">
        <f t="shared" si="12"/>
        <v>-0.67728452454921972</v>
      </c>
      <c r="H184" s="5">
        <v>0.78866999999999998</v>
      </c>
      <c r="I184">
        <v>69.599999999999994</v>
      </c>
      <c r="J184">
        <f t="shared" si="13"/>
        <v>-1.166186973544568</v>
      </c>
      <c r="K184">
        <f t="shared" si="15"/>
        <v>1.166186973544568</v>
      </c>
      <c r="L184" s="7">
        <v>118.59157999999999</v>
      </c>
      <c r="N184" s="14">
        <f t="shared" si="16"/>
        <v>-0.875336497754576</v>
      </c>
      <c r="O184" s="14">
        <f t="shared" si="17"/>
        <v>0.875336497754576</v>
      </c>
      <c r="P184" s="14">
        <f>(F184-$P$193)/$P$194</f>
        <v>-0.44894608880175785</v>
      </c>
    </row>
    <row r="185" spans="1:16" x14ac:dyDescent="0.3">
      <c r="A185" s="4">
        <v>45200</v>
      </c>
      <c r="B185">
        <v>2023</v>
      </c>
      <c r="C185">
        <v>4</v>
      </c>
      <c r="D185" s="2">
        <v>3.8</v>
      </c>
      <c r="E185" s="5">
        <v>3.3222</v>
      </c>
      <c r="F185" s="5">
        <f t="shared" si="11"/>
        <v>7.1221999999999994</v>
      </c>
      <c r="G185" s="5">
        <f t="shared" si="12"/>
        <v>-0.7601863487320516</v>
      </c>
      <c r="H185" s="5">
        <v>0.40479999999999999</v>
      </c>
      <c r="I185">
        <v>64.900000000000006</v>
      </c>
      <c r="J185">
        <f t="shared" si="13"/>
        <v>-1.5289933990864242</v>
      </c>
      <c r="K185">
        <f t="shared" si="15"/>
        <v>1.5289933990864242</v>
      </c>
      <c r="L185" s="7">
        <v>120.15949999999999</v>
      </c>
      <c r="N185" s="14">
        <f t="shared" si="16"/>
        <v>-1.2479094051197495</v>
      </c>
      <c r="O185" s="14">
        <f t="shared" si="17"/>
        <v>1.2479094051197495</v>
      </c>
      <c r="P185" s="14">
        <f>(F185-$P$193)/$P$194</f>
        <v>-0.57491665781260903</v>
      </c>
    </row>
    <row r="186" spans="1:16" x14ac:dyDescent="0.3">
      <c r="A186" s="4">
        <v>45292</v>
      </c>
      <c r="B186">
        <v>2024</v>
      </c>
      <c r="C186">
        <v>1</v>
      </c>
      <c r="D186" s="2">
        <v>3.8</v>
      </c>
      <c r="E186" s="5">
        <v>3.4689999999999999</v>
      </c>
      <c r="F186" s="5">
        <f t="shared" si="11"/>
        <v>7.2690000000000001</v>
      </c>
      <c r="G186" s="5">
        <f t="shared" si="12"/>
        <v>-0.71558803522413694</v>
      </c>
      <c r="H186" s="5">
        <v>0.73897999999999997</v>
      </c>
      <c r="I186">
        <v>78.400000000000006</v>
      </c>
      <c r="J186">
        <f t="shared" si="13"/>
        <v>-0.48688983635981392</v>
      </c>
      <c r="K186">
        <f t="shared" si="15"/>
        <v>0.48688983635981392</v>
      </c>
      <c r="L186" s="7">
        <v>120.83025000000001</v>
      </c>
      <c r="N186" s="14">
        <f t="shared" si="16"/>
        <v>-0.17775318183680208</v>
      </c>
      <c r="O186" s="14">
        <f t="shared" si="17"/>
        <v>0.17775318183680208</v>
      </c>
      <c r="P186" s="14">
        <f>(F186-$P$193)/$P$194</f>
        <v>-0.50714884950568662</v>
      </c>
    </row>
    <row r="187" spans="1:16" x14ac:dyDescent="0.3">
      <c r="A187" s="4">
        <v>45383</v>
      </c>
      <c r="B187">
        <v>2024</v>
      </c>
      <c r="C187">
        <v>2</v>
      </c>
      <c r="D187" s="2">
        <v>4</v>
      </c>
      <c r="E187" s="5">
        <v>2.9700899999999999</v>
      </c>
      <c r="F187" s="5">
        <f t="shared" si="11"/>
        <v>6.9700899999999999</v>
      </c>
      <c r="G187" s="5">
        <f t="shared" si="12"/>
        <v>-0.80639785736753411</v>
      </c>
      <c r="H187" s="5">
        <v>0.75951000000000002</v>
      </c>
      <c r="I187">
        <v>71.5</v>
      </c>
      <c r="J187">
        <f t="shared" si="13"/>
        <v>-1.0195205461978596</v>
      </c>
      <c r="K187">
        <f t="shared" si="15"/>
        <v>1.0195205461978596</v>
      </c>
      <c r="L187" s="7">
        <v>120.0399</v>
      </c>
      <c r="N187" s="14">
        <f t="shared" si="16"/>
        <v>-0.72472191818142007</v>
      </c>
      <c r="O187" s="14">
        <f t="shared" si="17"/>
        <v>0.72472191818142007</v>
      </c>
      <c r="P187" s="14">
        <f>(F187-$P$193)/$P$194</f>
        <v>-0.64513574038458388</v>
      </c>
    </row>
    <row r="188" spans="1:16" x14ac:dyDescent="0.3">
      <c r="A188" s="4">
        <v>45474</v>
      </c>
      <c r="B188">
        <v>2024</v>
      </c>
      <c r="C188">
        <v>3</v>
      </c>
      <c r="D188" s="2">
        <v>4.2</v>
      </c>
      <c r="E188" s="5">
        <v>2.4325399999999999</v>
      </c>
      <c r="F188" s="5">
        <f t="shared" si="11"/>
        <v>6.6325400000000005</v>
      </c>
      <c r="G188" s="5">
        <f t="shared" si="12"/>
        <v>-0.90894663614543936</v>
      </c>
      <c r="H188" s="5">
        <v>0.60707</v>
      </c>
      <c r="I188">
        <v>68.099999999999994</v>
      </c>
      <c r="J188">
        <f t="shared" si="13"/>
        <v>-1.2819762582919692</v>
      </c>
      <c r="K188">
        <f t="shared" si="15"/>
        <v>1.2819762582919692</v>
      </c>
      <c r="L188" s="7">
        <v>120.73116</v>
      </c>
      <c r="N188" s="14">
        <f t="shared" si="16"/>
        <v>-0.9942427447860146</v>
      </c>
      <c r="O188" s="14">
        <f t="shared" si="17"/>
        <v>0.9942427447860146</v>
      </c>
      <c r="P188" s="14">
        <f>(F188-$P$193)/$P$194</f>
        <v>-0.80096015246906294</v>
      </c>
    </row>
    <row r="189" spans="1:16" x14ac:dyDescent="0.3">
      <c r="A189" s="4">
        <v>45566</v>
      </c>
      <c r="B189">
        <v>2024</v>
      </c>
      <c r="C189">
        <v>4</v>
      </c>
      <c r="D189" s="2">
        <v>4.0999999999999996</v>
      </c>
      <c r="E189" s="5">
        <v>2.8723700000000001</v>
      </c>
      <c r="F189" s="5">
        <f t="shared" si="11"/>
        <v>6.9723699999999997</v>
      </c>
      <c r="G189" s="5">
        <f t="shared" si="12"/>
        <v>-0.80570518601332408</v>
      </c>
      <c r="I189">
        <v>72.099999999999994</v>
      </c>
      <c r="J189">
        <f t="shared" si="13"/>
        <v>-0.97320483229889954</v>
      </c>
      <c r="K189">
        <f t="shared" si="15"/>
        <v>0.97320483229889954</v>
      </c>
      <c r="L189" s="7">
        <v>121.85026000000001</v>
      </c>
      <c r="N189" s="14">
        <f t="shared" si="16"/>
        <v>-0.67715941936884505</v>
      </c>
      <c r="O189" s="14">
        <f t="shared" si="17"/>
        <v>0.67715941936884505</v>
      </c>
      <c r="P189" s="14">
        <f>(F189-$P$193)/$P$194</f>
        <v>-0.64408321584139738</v>
      </c>
    </row>
    <row r="190" spans="1:16" x14ac:dyDescent="0.3">
      <c r="A190" s="4">
        <v>45658</v>
      </c>
      <c r="B190">
        <v>2025</v>
      </c>
      <c r="C190">
        <v>1</v>
      </c>
      <c r="D190" s="2">
        <v>4.0999999999999996</v>
      </c>
      <c r="E190" s="5">
        <v>2.4055900000000001</v>
      </c>
      <c r="F190" s="5">
        <f t="shared" si="11"/>
        <v>6.5055899999999998</v>
      </c>
      <c r="G190" s="5">
        <f t="shared" si="12"/>
        <v>-0.94751445562656855</v>
      </c>
      <c r="I190">
        <v>64.5</v>
      </c>
      <c r="J190">
        <f t="shared" si="13"/>
        <v>-1.5598705416857315</v>
      </c>
      <c r="K190">
        <f t="shared" si="15"/>
        <v>1.5598705416857315</v>
      </c>
      <c r="N190" s="14">
        <f t="shared" si="16"/>
        <v>-1.2796177376614668</v>
      </c>
      <c r="O190" s="14">
        <f t="shared" si="17"/>
        <v>1.2796177376614668</v>
      </c>
      <c r="P190" s="14">
        <f>(F190-$P$193)/$P$194</f>
        <v>-0.8595645343802607</v>
      </c>
    </row>
    <row r="191" spans="1:16" x14ac:dyDescent="0.3">
      <c r="A191" s="4">
        <v>45748</v>
      </c>
      <c r="B191">
        <v>2025</v>
      </c>
      <c r="C191">
        <v>2</v>
      </c>
      <c r="D191" s="2">
        <v>4.2</v>
      </c>
      <c r="I191">
        <v>55</v>
      </c>
      <c r="J191">
        <f t="shared" si="13"/>
        <v>-2.2932026784192718</v>
      </c>
      <c r="K191">
        <f t="shared" si="15"/>
        <v>2.2932026784192718</v>
      </c>
      <c r="N191" s="14"/>
      <c r="O191" s="14"/>
      <c r="P191" s="14"/>
    </row>
    <row r="193" spans="14:16" x14ac:dyDescent="0.3">
      <c r="N193">
        <f>AVERAGE(I106:I190)</f>
        <v>80.642352941176483</v>
      </c>
      <c r="P193" s="5">
        <f>AVERAGE(F106:F190)</f>
        <v>8.367596117647059</v>
      </c>
    </row>
    <row r="194" spans="14:16" x14ac:dyDescent="0.3">
      <c r="N194">
        <f>_xlfn.STDEV.P(I106:I190)</f>
        <v>12.614980604033384</v>
      </c>
      <c r="P194">
        <f>_xlfn.STDEV.P(F106:F190)</f>
        <v>2.1662202698829951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D470-F83E-48D3-91F8-851419179E8F}">
  <dimension ref="A1:G143"/>
  <sheetViews>
    <sheetView tabSelected="1" topLeftCell="A136" workbookViewId="0">
      <selection activeCell="I144" sqref="I144"/>
    </sheetView>
  </sheetViews>
  <sheetFormatPr defaultRowHeight="14.4" x14ac:dyDescent="0.3"/>
  <cols>
    <col min="7" max="7" width="9.5546875" bestFit="1" customWidth="1"/>
  </cols>
  <sheetData>
    <row r="1" spans="1:7" x14ac:dyDescent="0.3">
      <c r="A1" t="s">
        <v>27</v>
      </c>
      <c r="B1" t="s">
        <v>28</v>
      </c>
      <c r="C1" t="s">
        <v>29</v>
      </c>
      <c r="D1" t="s">
        <v>30</v>
      </c>
      <c r="E1" t="s">
        <v>34</v>
      </c>
      <c r="F1" t="s">
        <v>31</v>
      </c>
      <c r="G1" t="s">
        <v>32</v>
      </c>
    </row>
    <row r="2" spans="1:7" x14ac:dyDescent="0.3">
      <c r="A2">
        <v>1990</v>
      </c>
      <c r="B2">
        <v>1</v>
      </c>
      <c r="C2">
        <v>5.3</v>
      </c>
      <c r="D2">
        <v>5.2373200000000004</v>
      </c>
      <c r="E2">
        <f t="shared" ref="E2:E65" si="0">C2+D2</f>
        <v>10.537320000000001</v>
      </c>
      <c r="F2">
        <v>91.3</v>
      </c>
      <c r="G2" s="5">
        <v>51.968559999999997</v>
      </c>
    </row>
    <row r="3" spans="1:7" x14ac:dyDescent="0.3">
      <c r="A3">
        <v>1990</v>
      </c>
      <c r="B3">
        <v>2</v>
      </c>
      <c r="C3">
        <v>5.3</v>
      </c>
      <c r="D3">
        <v>4.6736500000000003</v>
      </c>
      <c r="E3">
        <f t="shared" si="0"/>
        <v>9.9736499999999992</v>
      </c>
      <c r="F3">
        <v>90.9</v>
      </c>
      <c r="G3" s="5">
        <v>52.747300000000003</v>
      </c>
    </row>
    <row r="4" spans="1:7" x14ac:dyDescent="0.3">
      <c r="A4">
        <v>1990</v>
      </c>
      <c r="B4">
        <v>3</v>
      </c>
      <c r="C4">
        <v>5.7</v>
      </c>
      <c r="D4">
        <v>6.1698700000000004</v>
      </c>
      <c r="E4">
        <f t="shared" si="0"/>
        <v>11.869870000000001</v>
      </c>
      <c r="F4">
        <v>79.099999999999994</v>
      </c>
      <c r="G4" s="5">
        <v>53.753129999999999</v>
      </c>
    </row>
    <row r="5" spans="1:7" x14ac:dyDescent="0.3">
      <c r="A5">
        <v>1990</v>
      </c>
      <c r="B5">
        <v>4</v>
      </c>
      <c r="C5">
        <v>6.1</v>
      </c>
      <c r="D5">
        <v>6.25495</v>
      </c>
      <c r="E5">
        <f t="shared" si="0"/>
        <v>12.354949999999999</v>
      </c>
      <c r="F5">
        <v>65.2</v>
      </c>
      <c r="G5" s="5">
        <v>56.03613</v>
      </c>
    </row>
    <row r="6" spans="1:7" x14ac:dyDescent="0.3">
      <c r="A6">
        <v>1991</v>
      </c>
      <c r="B6">
        <v>1</v>
      </c>
      <c r="C6">
        <v>6.6</v>
      </c>
      <c r="D6">
        <v>4.8211500000000003</v>
      </c>
      <c r="E6">
        <f t="shared" si="0"/>
        <v>11.421150000000001</v>
      </c>
      <c r="F6">
        <v>74.8</v>
      </c>
      <c r="G6" s="5">
        <v>57.416519999999998</v>
      </c>
    </row>
    <row r="7" spans="1:7" x14ac:dyDescent="0.3">
      <c r="A7">
        <v>1991</v>
      </c>
      <c r="B7">
        <v>2</v>
      </c>
      <c r="C7">
        <v>6.8</v>
      </c>
      <c r="D7">
        <v>4.6959200000000001</v>
      </c>
      <c r="E7">
        <f t="shared" si="0"/>
        <v>11.49592</v>
      </c>
      <c r="F7">
        <v>80.8</v>
      </c>
      <c r="G7" s="5">
        <v>57.745510000000003</v>
      </c>
    </row>
    <row r="8" spans="1:7" x14ac:dyDescent="0.3">
      <c r="A8">
        <v>1991</v>
      </c>
      <c r="B8">
        <v>3</v>
      </c>
      <c r="C8">
        <v>6.9</v>
      </c>
      <c r="D8">
        <v>3.3962300000000001</v>
      </c>
      <c r="E8">
        <f t="shared" si="0"/>
        <v>10.296230000000001</v>
      </c>
      <c r="F8">
        <v>82.6</v>
      </c>
      <c r="G8" s="5">
        <v>59.061230000000002</v>
      </c>
    </row>
    <row r="9" spans="1:7" x14ac:dyDescent="0.3">
      <c r="A9">
        <v>1991</v>
      </c>
      <c r="B9">
        <v>4</v>
      </c>
      <c r="C9">
        <v>7.1</v>
      </c>
      <c r="D9">
        <v>2.9806300000000001</v>
      </c>
      <c r="E9">
        <f t="shared" si="0"/>
        <v>10.080629999999999</v>
      </c>
      <c r="F9">
        <v>71.900000000000006</v>
      </c>
      <c r="G9" s="5">
        <v>60.685989999999997</v>
      </c>
    </row>
    <row r="10" spans="1:7" x14ac:dyDescent="0.3">
      <c r="A10">
        <v>1992</v>
      </c>
      <c r="B10">
        <v>1</v>
      </c>
      <c r="C10">
        <v>7.4</v>
      </c>
      <c r="D10">
        <v>3.1899099999999998</v>
      </c>
      <c r="E10">
        <f t="shared" si="0"/>
        <v>10.58991</v>
      </c>
      <c r="F10">
        <v>70.7</v>
      </c>
      <c r="G10" s="5">
        <v>60.996789999999997</v>
      </c>
    </row>
    <row r="11" spans="1:7" x14ac:dyDescent="0.3">
      <c r="A11">
        <v>1992</v>
      </c>
      <c r="B11">
        <v>2</v>
      </c>
      <c r="C11">
        <v>7.6</v>
      </c>
      <c r="D11">
        <v>3.01471</v>
      </c>
      <c r="E11">
        <f t="shared" si="0"/>
        <v>10.614709999999999</v>
      </c>
      <c r="F11">
        <v>78.900000000000006</v>
      </c>
      <c r="G11" s="5">
        <v>61.57938</v>
      </c>
    </row>
    <row r="12" spans="1:7" x14ac:dyDescent="0.3">
      <c r="A12">
        <v>1992</v>
      </c>
      <c r="B12">
        <v>3</v>
      </c>
      <c r="C12">
        <v>7.6</v>
      </c>
      <c r="D12">
        <v>2.9927000000000001</v>
      </c>
      <c r="E12">
        <f t="shared" si="0"/>
        <v>10.592700000000001</v>
      </c>
      <c r="F12">
        <v>76.099999999999994</v>
      </c>
      <c r="G12" s="5">
        <v>61.898020000000002</v>
      </c>
    </row>
    <row r="13" spans="1:7" x14ac:dyDescent="0.3">
      <c r="A13">
        <v>1992</v>
      </c>
      <c r="B13">
        <v>4</v>
      </c>
      <c r="C13">
        <v>7.4</v>
      </c>
      <c r="D13">
        <v>2.96671</v>
      </c>
      <c r="E13">
        <f t="shared" si="0"/>
        <v>10.366710000000001</v>
      </c>
      <c r="F13">
        <v>83.3</v>
      </c>
      <c r="G13" s="5">
        <v>62.522559999999999</v>
      </c>
    </row>
    <row r="14" spans="1:7" x14ac:dyDescent="0.3">
      <c r="A14">
        <v>1993</v>
      </c>
      <c r="B14">
        <v>1</v>
      </c>
      <c r="C14">
        <v>7.1</v>
      </c>
      <c r="D14">
        <v>3.0194100000000001</v>
      </c>
      <c r="E14">
        <f t="shared" si="0"/>
        <v>10.11941</v>
      </c>
      <c r="F14">
        <v>87.3</v>
      </c>
      <c r="G14" s="5">
        <v>62.866570000000003</v>
      </c>
    </row>
    <row r="15" spans="1:7" x14ac:dyDescent="0.3">
      <c r="A15">
        <v>1993</v>
      </c>
      <c r="B15">
        <v>2</v>
      </c>
      <c r="C15">
        <v>7.1</v>
      </c>
      <c r="D15">
        <v>2.9978600000000002</v>
      </c>
      <c r="E15">
        <f t="shared" si="0"/>
        <v>10.097860000000001</v>
      </c>
      <c r="F15">
        <v>82.5</v>
      </c>
      <c r="G15" s="5">
        <v>63.915239999999997</v>
      </c>
    </row>
    <row r="16" spans="1:7" x14ac:dyDescent="0.3">
      <c r="A16">
        <v>1993</v>
      </c>
      <c r="B16">
        <v>3</v>
      </c>
      <c r="C16">
        <v>6.8</v>
      </c>
      <c r="D16">
        <v>2.7639999999999998</v>
      </c>
      <c r="E16">
        <f t="shared" si="0"/>
        <v>9.5640000000000001</v>
      </c>
      <c r="F16">
        <v>77.400000000000006</v>
      </c>
      <c r="G16" s="5">
        <v>64.100930000000005</v>
      </c>
    </row>
    <row r="17" spans="1:7" x14ac:dyDescent="0.3">
      <c r="A17">
        <v>1993</v>
      </c>
      <c r="B17">
        <v>4</v>
      </c>
      <c r="C17">
        <v>6.6</v>
      </c>
      <c r="D17">
        <v>2.8109600000000001</v>
      </c>
      <c r="E17">
        <f t="shared" si="0"/>
        <v>9.4109599999999993</v>
      </c>
      <c r="F17">
        <v>84.1</v>
      </c>
      <c r="G17" s="5">
        <v>64.668610000000001</v>
      </c>
    </row>
    <row r="18" spans="1:7" x14ac:dyDescent="0.3">
      <c r="A18">
        <v>1994</v>
      </c>
      <c r="B18">
        <v>1</v>
      </c>
      <c r="C18">
        <v>6.6</v>
      </c>
      <c r="D18">
        <v>2.65178</v>
      </c>
      <c r="E18">
        <f t="shared" si="0"/>
        <v>9.2517800000000001</v>
      </c>
      <c r="F18">
        <v>93</v>
      </c>
      <c r="G18" s="5">
        <v>64.307090000000002</v>
      </c>
    </row>
    <row r="19" spans="1:7" x14ac:dyDescent="0.3">
      <c r="A19">
        <v>1994</v>
      </c>
      <c r="B19">
        <v>2</v>
      </c>
      <c r="C19">
        <v>6.2</v>
      </c>
      <c r="D19">
        <v>2.4948000000000001</v>
      </c>
      <c r="E19">
        <f t="shared" si="0"/>
        <v>8.6948000000000008</v>
      </c>
      <c r="F19">
        <v>92.2</v>
      </c>
      <c r="G19" s="5">
        <v>64.107159999999993</v>
      </c>
    </row>
    <row r="20" spans="1:7" x14ac:dyDescent="0.3">
      <c r="A20">
        <v>1994</v>
      </c>
      <c r="B20">
        <v>3</v>
      </c>
      <c r="C20">
        <v>6</v>
      </c>
      <c r="D20">
        <v>2.9655200000000002</v>
      </c>
      <c r="E20">
        <f t="shared" si="0"/>
        <v>8.9655199999999997</v>
      </c>
      <c r="F20">
        <v>90.7</v>
      </c>
      <c r="G20" s="5">
        <v>64.011759999999995</v>
      </c>
    </row>
    <row r="21" spans="1:7" x14ac:dyDescent="0.3">
      <c r="A21">
        <v>1994</v>
      </c>
      <c r="B21">
        <v>4</v>
      </c>
      <c r="C21">
        <v>5.6</v>
      </c>
      <c r="D21">
        <v>2.5973999999999999</v>
      </c>
      <c r="E21">
        <f t="shared" si="0"/>
        <v>8.1974</v>
      </c>
      <c r="F21">
        <v>93.1</v>
      </c>
      <c r="G21" s="5">
        <v>64.385840000000002</v>
      </c>
    </row>
    <row r="22" spans="1:7" x14ac:dyDescent="0.3">
      <c r="A22">
        <v>1995</v>
      </c>
      <c r="B22">
        <v>1</v>
      </c>
      <c r="C22">
        <v>5.5</v>
      </c>
      <c r="D22">
        <v>2.78722</v>
      </c>
      <c r="E22">
        <f t="shared" si="0"/>
        <v>8.2872199999999996</v>
      </c>
      <c r="F22">
        <v>94.3</v>
      </c>
      <c r="G22" s="5">
        <v>64.662710000000004</v>
      </c>
    </row>
    <row r="23" spans="1:7" x14ac:dyDescent="0.3">
      <c r="A23">
        <v>1995</v>
      </c>
      <c r="B23">
        <v>2</v>
      </c>
      <c r="C23">
        <v>5.7</v>
      </c>
      <c r="D23">
        <v>3.0426000000000002</v>
      </c>
      <c r="E23">
        <f t="shared" si="0"/>
        <v>8.7425999999999995</v>
      </c>
      <c r="F23">
        <v>91.7</v>
      </c>
      <c r="G23" s="5">
        <v>65.312939999999998</v>
      </c>
    </row>
    <row r="24" spans="1:7" x14ac:dyDescent="0.3">
      <c r="A24">
        <v>1995</v>
      </c>
      <c r="B24">
        <v>3</v>
      </c>
      <c r="C24">
        <v>5.7</v>
      </c>
      <c r="D24">
        <v>2.54521</v>
      </c>
      <c r="E24">
        <f t="shared" si="0"/>
        <v>8.2452100000000002</v>
      </c>
      <c r="F24">
        <v>93.1</v>
      </c>
      <c r="G24" s="5">
        <v>64.739059999999995</v>
      </c>
    </row>
    <row r="25" spans="1:7" x14ac:dyDescent="0.3">
      <c r="A25">
        <v>1995</v>
      </c>
      <c r="B25">
        <v>4</v>
      </c>
      <c r="C25">
        <v>5.6</v>
      </c>
      <c r="D25">
        <v>2.53165</v>
      </c>
      <c r="E25">
        <f t="shared" si="0"/>
        <v>8.1316500000000005</v>
      </c>
      <c r="F25">
        <v>89.8</v>
      </c>
      <c r="G25" s="5">
        <v>64.182820000000007</v>
      </c>
    </row>
    <row r="26" spans="1:7" x14ac:dyDescent="0.3">
      <c r="A26">
        <v>1996</v>
      </c>
      <c r="B26">
        <v>1</v>
      </c>
      <c r="C26">
        <v>5.5</v>
      </c>
      <c r="D26">
        <v>2.8439199999999998</v>
      </c>
      <c r="E26">
        <f t="shared" si="0"/>
        <v>8.3439200000000007</v>
      </c>
      <c r="F26">
        <v>90.5</v>
      </c>
      <c r="G26" s="5">
        <v>65.041709999999995</v>
      </c>
    </row>
    <row r="27" spans="1:7" x14ac:dyDescent="0.3">
      <c r="A27">
        <v>1996</v>
      </c>
      <c r="B27">
        <v>2</v>
      </c>
      <c r="C27">
        <v>5.5</v>
      </c>
      <c r="D27">
        <v>2.82152</v>
      </c>
      <c r="E27">
        <f t="shared" si="0"/>
        <v>8.3215199999999996</v>
      </c>
      <c r="F27">
        <v>91.5</v>
      </c>
      <c r="G27" s="5">
        <v>64.249700000000004</v>
      </c>
    </row>
    <row r="28" spans="1:7" x14ac:dyDescent="0.3">
      <c r="A28">
        <v>1996</v>
      </c>
      <c r="B28">
        <v>3</v>
      </c>
      <c r="C28">
        <v>5.3</v>
      </c>
      <c r="D28">
        <v>3.0045700000000002</v>
      </c>
      <c r="E28">
        <f t="shared" si="0"/>
        <v>8.30457</v>
      </c>
      <c r="F28">
        <v>94.9</v>
      </c>
      <c r="G28" s="5">
        <v>64.254689999999997</v>
      </c>
    </row>
    <row r="29" spans="1:7" x14ac:dyDescent="0.3">
      <c r="A29">
        <v>1996</v>
      </c>
      <c r="B29">
        <v>4</v>
      </c>
      <c r="C29">
        <v>5.3</v>
      </c>
      <c r="D29">
        <v>3.3788200000000002</v>
      </c>
      <c r="E29">
        <f t="shared" si="0"/>
        <v>8.67882</v>
      </c>
      <c r="F29">
        <v>97.5</v>
      </c>
      <c r="G29" s="5">
        <v>64.446969999999993</v>
      </c>
    </row>
    <row r="30" spans="1:7" x14ac:dyDescent="0.3">
      <c r="A30">
        <v>1997</v>
      </c>
      <c r="B30">
        <v>1</v>
      </c>
      <c r="C30">
        <v>5.2</v>
      </c>
      <c r="D30">
        <v>2.7652700000000001</v>
      </c>
      <c r="E30">
        <f t="shared" si="0"/>
        <v>7.9652700000000003</v>
      </c>
      <c r="F30">
        <v>99</v>
      </c>
      <c r="G30" s="5">
        <v>64.344279999999998</v>
      </c>
    </row>
    <row r="31" spans="1:7" x14ac:dyDescent="0.3">
      <c r="A31">
        <v>1997</v>
      </c>
      <c r="B31">
        <v>2</v>
      </c>
      <c r="C31">
        <v>5</v>
      </c>
      <c r="D31">
        <v>2.2335699999999998</v>
      </c>
      <c r="E31">
        <f t="shared" si="0"/>
        <v>7.2335700000000003</v>
      </c>
      <c r="F31">
        <v>103</v>
      </c>
      <c r="G31" s="5">
        <v>63.109070000000003</v>
      </c>
    </row>
    <row r="32" spans="1:7" x14ac:dyDescent="0.3">
      <c r="A32">
        <v>1997</v>
      </c>
      <c r="B32">
        <v>3</v>
      </c>
      <c r="C32">
        <v>4.9000000000000004</v>
      </c>
      <c r="D32">
        <v>2.2193999999999998</v>
      </c>
      <c r="E32">
        <f t="shared" si="0"/>
        <v>7.1194000000000006</v>
      </c>
      <c r="F32">
        <v>105.8</v>
      </c>
      <c r="G32" s="5">
        <v>62.487090000000002</v>
      </c>
    </row>
    <row r="33" spans="1:7" x14ac:dyDescent="0.3">
      <c r="A33">
        <v>1997</v>
      </c>
      <c r="B33">
        <v>4</v>
      </c>
      <c r="C33">
        <v>4.7</v>
      </c>
      <c r="D33">
        <v>1.6970499999999999</v>
      </c>
      <c r="E33">
        <f t="shared" si="0"/>
        <v>6.3970500000000001</v>
      </c>
      <c r="F33">
        <v>105</v>
      </c>
      <c r="G33" s="5">
        <v>62.770319999999998</v>
      </c>
    </row>
    <row r="34" spans="1:7" x14ac:dyDescent="0.3">
      <c r="A34">
        <v>1998</v>
      </c>
      <c r="B34">
        <v>1</v>
      </c>
      <c r="C34">
        <v>4.5999999999999996</v>
      </c>
      <c r="D34">
        <v>1.3767199999999999</v>
      </c>
      <c r="E34">
        <f t="shared" si="0"/>
        <v>5.9767199999999994</v>
      </c>
      <c r="F34">
        <v>107.8</v>
      </c>
      <c r="G34" s="5">
        <v>62.509880000000003</v>
      </c>
    </row>
    <row r="35" spans="1:7" x14ac:dyDescent="0.3">
      <c r="A35">
        <v>1998</v>
      </c>
      <c r="B35">
        <v>2</v>
      </c>
      <c r="C35">
        <v>4.4000000000000004</v>
      </c>
      <c r="D35">
        <v>1.62297</v>
      </c>
      <c r="E35">
        <f t="shared" si="0"/>
        <v>6.0229700000000008</v>
      </c>
      <c r="F35">
        <v>106.9</v>
      </c>
      <c r="G35" s="5">
        <v>61.851959999999998</v>
      </c>
    </row>
    <row r="36" spans="1:7" x14ac:dyDescent="0.3">
      <c r="A36">
        <v>1998</v>
      </c>
      <c r="B36">
        <v>3</v>
      </c>
      <c r="C36">
        <v>4.5</v>
      </c>
      <c r="D36">
        <v>1.4268000000000001</v>
      </c>
      <c r="E36">
        <f t="shared" si="0"/>
        <v>5.9268000000000001</v>
      </c>
      <c r="F36">
        <v>103.5</v>
      </c>
      <c r="G36" s="5">
        <v>60.586930000000002</v>
      </c>
    </row>
    <row r="37" spans="1:7" x14ac:dyDescent="0.3">
      <c r="A37">
        <v>1998</v>
      </c>
      <c r="B37">
        <v>4</v>
      </c>
      <c r="C37">
        <v>4.4000000000000004</v>
      </c>
      <c r="D37">
        <v>1.6069199999999999</v>
      </c>
      <c r="E37">
        <f t="shared" si="0"/>
        <v>6.00692</v>
      </c>
      <c r="F37">
        <v>100.2</v>
      </c>
      <c r="G37" s="5">
        <v>60.406959999999998</v>
      </c>
    </row>
    <row r="38" spans="1:7" x14ac:dyDescent="0.3">
      <c r="A38">
        <v>1999</v>
      </c>
      <c r="B38">
        <v>1</v>
      </c>
      <c r="C38">
        <v>4.3</v>
      </c>
      <c r="D38">
        <v>1.7283999999999999</v>
      </c>
      <c r="E38">
        <f t="shared" si="0"/>
        <v>6.0283999999999995</v>
      </c>
      <c r="F38">
        <v>105.9</v>
      </c>
      <c r="G38" s="5">
        <v>60.048940000000002</v>
      </c>
    </row>
    <row r="39" spans="1:7" x14ac:dyDescent="0.3">
      <c r="A39">
        <v>1999</v>
      </c>
      <c r="B39">
        <v>2</v>
      </c>
      <c r="C39">
        <v>4.3</v>
      </c>
      <c r="D39">
        <v>1.9656</v>
      </c>
      <c r="E39">
        <f t="shared" si="0"/>
        <v>6.2656000000000001</v>
      </c>
      <c r="F39">
        <v>106.2</v>
      </c>
      <c r="G39" s="5">
        <v>59.192270000000001</v>
      </c>
    </row>
    <row r="40" spans="1:7" x14ac:dyDescent="0.3">
      <c r="A40">
        <v>1999</v>
      </c>
      <c r="B40">
        <v>3</v>
      </c>
      <c r="C40">
        <v>4.2</v>
      </c>
      <c r="D40">
        <v>2.6299700000000001</v>
      </c>
      <c r="E40">
        <f t="shared" si="0"/>
        <v>6.8299700000000003</v>
      </c>
      <c r="F40">
        <v>105.9</v>
      </c>
      <c r="G40" s="5">
        <v>58.392580000000002</v>
      </c>
    </row>
    <row r="41" spans="1:7" x14ac:dyDescent="0.3">
      <c r="A41">
        <v>1999</v>
      </c>
      <c r="B41">
        <v>4</v>
      </c>
      <c r="C41">
        <v>4.0999999999999996</v>
      </c>
      <c r="D41">
        <v>2.6764000000000001</v>
      </c>
      <c r="E41">
        <f t="shared" si="0"/>
        <v>6.7763999999999998</v>
      </c>
      <c r="F41">
        <v>105.2</v>
      </c>
      <c r="G41" s="5">
        <v>58.343359999999997</v>
      </c>
    </row>
    <row r="42" spans="1:7" x14ac:dyDescent="0.3">
      <c r="A42">
        <v>2000</v>
      </c>
      <c r="B42">
        <v>1</v>
      </c>
      <c r="C42">
        <v>4</v>
      </c>
      <c r="D42">
        <v>3.76214</v>
      </c>
      <c r="E42">
        <f t="shared" si="0"/>
        <v>7.7621400000000005</v>
      </c>
      <c r="F42" s="10">
        <v>110.1</v>
      </c>
      <c r="G42" s="12">
        <v>57.721339999999998</v>
      </c>
    </row>
    <row r="43" spans="1:7" x14ac:dyDescent="0.3">
      <c r="A43">
        <v>2000</v>
      </c>
      <c r="B43">
        <v>2</v>
      </c>
      <c r="C43">
        <v>3.9</v>
      </c>
      <c r="D43">
        <v>3.7349399999999999</v>
      </c>
      <c r="E43">
        <f t="shared" si="0"/>
        <v>7.6349400000000003</v>
      </c>
      <c r="F43">
        <v>108.8</v>
      </c>
      <c r="G43" s="5">
        <v>55.484909999999999</v>
      </c>
    </row>
    <row r="44" spans="1:7" x14ac:dyDescent="0.3">
      <c r="A44">
        <v>2000</v>
      </c>
      <c r="B44">
        <v>3</v>
      </c>
      <c r="C44">
        <v>4</v>
      </c>
      <c r="D44">
        <v>3.4565000000000001</v>
      </c>
      <c r="E44">
        <f t="shared" si="0"/>
        <v>7.4565000000000001</v>
      </c>
      <c r="F44">
        <v>107.5</v>
      </c>
      <c r="G44" s="5">
        <v>54.992130000000003</v>
      </c>
    </row>
    <row r="45" spans="1:7" x14ac:dyDescent="0.3">
      <c r="A45">
        <v>2000</v>
      </c>
      <c r="B45">
        <v>4</v>
      </c>
      <c r="C45">
        <v>3.9</v>
      </c>
      <c r="D45">
        <v>3.4360200000000001</v>
      </c>
      <c r="E45">
        <f t="shared" si="0"/>
        <v>7.3360199999999995</v>
      </c>
      <c r="F45">
        <v>103.9</v>
      </c>
      <c r="G45" s="5">
        <v>54.257899999999999</v>
      </c>
    </row>
    <row r="46" spans="1:7" x14ac:dyDescent="0.3">
      <c r="A46">
        <v>2001</v>
      </c>
      <c r="B46">
        <v>1</v>
      </c>
      <c r="C46">
        <v>4.2</v>
      </c>
      <c r="D46">
        <v>2.9824600000000001</v>
      </c>
      <c r="E46">
        <f t="shared" si="0"/>
        <v>7.1824600000000007</v>
      </c>
      <c r="F46">
        <v>92.3</v>
      </c>
      <c r="G46" s="5">
        <v>55.14434</v>
      </c>
    </row>
    <row r="47" spans="1:7" x14ac:dyDescent="0.3">
      <c r="A47">
        <v>2001</v>
      </c>
      <c r="B47">
        <v>2</v>
      </c>
      <c r="C47">
        <v>4.4000000000000004</v>
      </c>
      <c r="D47">
        <v>3.1939600000000001</v>
      </c>
      <c r="E47">
        <f t="shared" si="0"/>
        <v>7.5939600000000009</v>
      </c>
      <c r="F47">
        <v>91</v>
      </c>
      <c r="G47" s="5">
        <v>54.031649999999999</v>
      </c>
    </row>
    <row r="48" spans="1:7" x14ac:dyDescent="0.3">
      <c r="A48">
        <v>2001</v>
      </c>
      <c r="B48">
        <v>3</v>
      </c>
      <c r="C48">
        <v>4.8</v>
      </c>
      <c r="D48">
        <v>2.5921699999999999</v>
      </c>
      <c r="E48">
        <f t="shared" si="0"/>
        <v>7.3921700000000001</v>
      </c>
      <c r="F48">
        <v>88.5</v>
      </c>
      <c r="G48" s="5">
        <v>54.797629999999998</v>
      </c>
    </row>
    <row r="49" spans="1:7" x14ac:dyDescent="0.3">
      <c r="A49">
        <v>2001</v>
      </c>
      <c r="B49">
        <v>4</v>
      </c>
      <c r="C49">
        <v>5.5</v>
      </c>
      <c r="D49">
        <v>1.6036699999999999</v>
      </c>
      <c r="E49">
        <f t="shared" si="0"/>
        <v>7.1036700000000002</v>
      </c>
      <c r="F49">
        <v>85.1</v>
      </c>
      <c r="G49" s="5">
        <v>55.752160000000003</v>
      </c>
    </row>
    <row r="50" spans="1:7" x14ac:dyDescent="0.3">
      <c r="A50">
        <v>2002</v>
      </c>
      <c r="B50">
        <v>1</v>
      </c>
      <c r="C50">
        <v>5.7</v>
      </c>
      <c r="D50">
        <v>1.36286</v>
      </c>
      <c r="E50">
        <f t="shared" si="0"/>
        <v>7.0628600000000006</v>
      </c>
      <c r="F50">
        <v>93.1</v>
      </c>
      <c r="G50" s="5">
        <v>55.6965</v>
      </c>
    </row>
    <row r="51" spans="1:7" x14ac:dyDescent="0.3">
      <c r="A51">
        <v>2002</v>
      </c>
      <c r="B51">
        <v>2</v>
      </c>
      <c r="C51">
        <v>5.8</v>
      </c>
      <c r="D51">
        <v>1.0692200000000001</v>
      </c>
      <c r="E51">
        <f t="shared" si="0"/>
        <v>6.8692200000000003</v>
      </c>
      <c r="F51">
        <v>94.1</v>
      </c>
      <c r="G51" s="5">
        <v>56.270870000000002</v>
      </c>
    </row>
    <row r="52" spans="1:7" x14ac:dyDescent="0.3">
      <c r="A52">
        <v>2002</v>
      </c>
      <c r="B52">
        <v>3</v>
      </c>
      <c r="C52">
        <v>5.7</v>
      </c>
      <c r="D52">
        <v>1.516</v>
      </c>
      <c r="E52">
        <f t="shared" si="0"/>
        <v>7.2160000000000002</v>
      </c>
      <c r="F52">
        <v>87.3</v>
      </c>
      <c r="G52" s="5">
        <v>56.702599999999997</v>
      </c>
    </row>
    <row r="53" spans="1:7" x14ac:dyDescent="0.3">
      <c r="A53">
        <v>2002</v>
      </c>
      <c r="B53">
        <v>4</v>
      </c>
      <c r="C53">
        <v>5.9</v>
      </c>
      <c r="D53">
        <v>2.48027</v>
      </c>
      <c r="E53">
        <f t="shared" si="0"/>
        <v>8.3802699999999994</v>
      </c>
      <c r="F53">
        <v>83.8</v>
      </c>
      <c r="G53" s="5">
        <v>57.91028</v>
      </c>
    </row>
    <row r="54" spans="1:7" x14ac:dyDescent="0.3">
      <c r="A54">
        <v>2003</v>
      </c>
      <c r="B54">
        <v>1</v>
      </c>
      <c r="C54">
        <v>5.9</v>
      </c>
      <c r="D54">
        <v>3.02521</v>
      </c>
      <c r="E54">
        <f t="shared" si="0"/>
        <v>8.9252099999999999</v>
      </c>
      <c r="F54">
        <v>80</v>
      </c>
      <c r="G54" s="5">
        <v>57.81906</v>
      </c>
    </row>
    <row r="55" spans="1:7" x14ac:dyDescent="0.3">
      <c r="A55">
        <v>2003</v>
      </c>
      <c r="B55">
        <v>2</v>
      </c>
      <c r="C55">
        <v>6.1</v>
      </c>
      <c r="D55">
        <v>1.94878</v>
      </c>
      <c r="E55">
        <f t="shared" si="0"/>
        <v>8.0487799999999989</v>
      </c>
      <c r="F55">
        <v>89.3</v>
      </c>
      <c r="G55" s="5">
        <v>58.961010000000002</v>
      </c>
    </row>
    <row r="56" spans="1:7" x14ac:dyDescent="0.3">
      <c r="A56">
        <v>2003</v>
      </c>
      <c r="B56">
        <v>3</v>
      </c>
      <c r="C56">
        <v>6.1</v>
      </c>
      <c r="D56">
        <v>2.37832</v>
      </c>
      <c r="E56">
        <f t="shared" si="0"/>
        <v>8.4783200000000001</v>
      </c>
      <c r="F56">
        <v>89.3</v>
      </c>
      <c r="G56" s="5">
        <v>58.645409999999998</v>
      </c>
    </row>
    <row r="57" spans="1:7" x14ac:dyDescent="0.3">
      <c r="A57">
        <v>2003</v>
      </c>
      <c r="B57">
        <v>4</v>
      </c>
      <c r="C57">
        <v>5.8</v>
      </c>
      <c r="D57">
        <v>2.0352000000000001</v>
      </c>
      <c r="E57">
        <f t="shared" si="0"/>
        <v>7.8352000000000004</v>
      </c>
      <c r="F57">
        <v>92</v>
      </c>
      <c r="G57" s="5">
        <v>59.444659999999999</v>
      </c>
    </row>
    <row r="58" spans="1:7" x14ac:dyDescent="0.3">
      <c r="A58">
        <v>2004</v>
      </c>
      <c r="B58">
        <v>1</v>
      </c>
      <c r="C58">
        <v>5.7</v>
      </c>
      <c r="D58">
        <v>1.7400800000000001</v>
      </c>
      <c r="E58">
        <f t="shared" si="0"/>
        <v>7.44008</v>
      </c>
      <c r="F58">
        <v>98.1</v>
      </c>
      <c r="G58" s="5">
        <v>59.807099999999998</v>
      </c>
    </row>
    <row r="59" spans="1:7" x14ac:dyDescent="0.3">
      <c r="A59">
        <v>2004</v>
      </c>
      <c r="B59">
        <v>2</v>
      </c>
      <c r="C59">
        <v>5.6</v>
      </c>
      <c r="D59">
        <v>3.1676700000000002</v>
      </c>
      <c r="E59">
        <f t="shared" si="0"/>
        <v>8.767669999999999</v>
      </c>
      <c r="F59">
        <v>93.4</v>
      </c>
      <c r="G59" s="5">
        <v>60.054870000000001</v>
      </c>
    </row>
    <row r="60" spans="1:7" x14ac:dyDescent="0.3">
      <c r="A60">
        <v>2004</v>
      </c>
      <c r="B60">
        <v>3</v>
      </c>
      <c r="C60">
        <v>5.4</v>
      </c>
      <c r="D60">
        <v>2.5391699999999999</v>
      </c>
      <c r="E60">
        <f t="shared" si="0"/>
        <v>7.9391700000000007</v>
      </c>
      <c r="F60">
        <v>95.6</v>
      </c>
      <c r="G60" s="5">
        <v>59.966430000000003</v>
      </c>
    </row>
    <row r="61" spans="1:7" x14ac:dyDescent="0.3">
      <c r="A61">
        <v>2004</v>
      </c>
      <c r="B61">
        <v>4</v>
      </c>
      <c r="C61">
        <v>5.4</v>
      </c>
      <c r="D61">
        <v>3.34232</v>
      </c>
      <c r="E61">
        <f t="shared" si="0"/>
        <v>8.7423199999999994</v>
      </c>
      <c r="F61">
        <v>93.9</v>
      </c>
      <c r="G61" s="5">
        <v>60.637129999999999</v>
      </c>
    </row>
    <row r="62" spans="1:7" x14ac:dyDescent="0.3">
      <c r="A62">
        <v>2005</v>
      </c>
      <c r="B62">
        <v>1</v>
      </c>
      <c r="C62">
        <v>5.3</v>
      </c>
      <c r="D62">
        <v>3.2068400000000001</v>
      </c>
      <c r="E62">
        <f t="shared" si="0"/>
        <v>8.5068400000000004</v>
      </c>
      <c r="F62">
        <v>94.1</v>
      </c>
      <c r="G62" s="5">
        <v>60.913020000000003</v>
      </c>
    </row>
    <row r="63" spans="1:7" x14ac:dyDescent="0.3">
      <c r="A63">
        <v>2005</v>
      </c>
      <c r="B63">
        <v>2</v>
      </c>
      <c r="C63">
        <v>5.0999999999999996</v>
      </c>
      <c r="D63">
        <v>2.5410300000000001</v>
      </c>
      <c r="E63">
        <f t="shared" si="0"/>
        <v>7.6410299999999998</v>
      </c>
      <c r="F63">
        <v>90.2</v>
      </c>
      <c r="G63" s="5">
        <v>60.641530000000003</v>
      </c>
    </row>
    <row r="64" spans="1:7" x14ac:dyDescent="0.3">
      <c r="A64">
        <v>2005</v>
      </c>
      <c r="B64">
        <v>3</v>
      </c>
      <c r="C64">
        <v>5</v>
      </c>
      <c r="D64">
        <v>4.7418300000000002</v>
      </c>
      <c r="E64">
        <f t="shared" si="0"/>
        <v>9.7418300000000002</v>
      </c>
      <c r="F64">
        <v>87.4</v>
      </c>
      <c r="G64" s="5">
        <v>60.358559999999997</v>
      </c>
    </row>
    <row r="65" spans="1:7" x14ac:dyDescent="0.3">
      <c r="A65">
        <v>2005</v>
      </c>
      <c r="B65">
        <v>4</v>
      </c>
      <c r="C65">
        <v>5</v>
      </c>
      <c r="D65">
        <v>3.3385500000000001</v>
      </c>
      <c r="E65">
        <f t="shared" si="0"/>
        <v>8.3385499999999997</v>
      </c>
      <c r="F65">
        <v>82.4</v>
      </c>
      <c r="G65" s="5">
        <v>61.320079999999997</v>
      </c>
    </row>
    <row r="66" spans="1:7" x14ac:dyDescent="0.3">
      <c r="A66">
        <v>2006</v>
      </c>
      <c r="B66">
        <v>1</v>
      </c>
      <c r="C66">
        <v>4.7</v>
      </c>
      <c r="D66">
        <v>3.4179200000000001</v>
      </c>
      <c r="E66">
        <f t="shared" ref="E66:E129" si="1">C66+D66</f>
        <v>8.1179199999999998</v>
      </c>
      <c r="F66">
        <v>88.9</v>
      </c>
      <c r="G66" s="5">
        <v>61.556420000000003</v>
      </c>
    </row>
    <row r="67" spans="1:7" x14ac:dyDescent="0.3">
      <c r="A67">
        <v>2006</v>
      </c>
      <c r="B67">
        <v>2</v>
      </c>
      <c r="C67">
        <v>4.5999999999999996</v>
      </c>
      <c r="D67">
        <v>4.1817200000000003</v>
      </c>
      <c r="E67">
        <f t="shared" si="1"/>
        <v>8.78172</v>
      </c>
      <c r="F67">
        <v>83.8</v>
      </c>
      <c r="G67" s="5">
        <v>61.221420000000002</v>
      </c>
    </row>
    <row r="68" spans="1:7" x14ac:dyDescent="0.3">
      <c r="A68">
        <v>2006</v>
      </c>
      <c r="B68">
        <v>3</v>
      </c>
      <c r="C68">
        <v>4.5999999999999996</v>
      </c>
      <c r="D68">
        <v>2.01207</v>
      </c>
      <c r="E68">
        <f t="shared" si="1"/>
        <v>6.6120699999999992</v>
      </c>
      <c r="F68">
        <v>84</v>
      </c>
      <c r="G68" s="5">
        <v>61.332799999999999</v>
      </c>
    </row>
    <row r="69" spans="1:7" x14ac:dyDescent="0.3">
      <c r="A69">
        <v>2006</v>
      </c>
      <c r="B69">
        <v>4</v>
      </c>
      <c r="C69">
        <v>4.4000000000000004</v>
      </c>
      <c r="D69">
        <v>2.5239799999999999</v>
      </c>
      <c r="E69">
        <f t="shared" si="1"/>
        <v>6.9239800000000002</v>
      </c>
      <c r="F69">
        <v>92.5</v>
      </c>
      <c r="G69" s="5">
        <v>61.826889999999999</v>
      </c>
    </row>
    <row r="70" spans="1:7" x14ac:dyDescent="0.3">
      <c r="A70">
        <v>2007</v>
      </c>
      <c r="B70">
        <v>1</v>
      </c>
      <c r="C70">
        <v>4.5</v>
      </c>
      <c r="D70">
        <v>2.7982</v>
      </c>
      <c r="E70">
        <f t="shared" si="1"/>
        <v>7.2981999999999996</v>
      </c>
      <c r="F70">
        <v>92.2</v>
      </c>
      <c r="G70" s="5">
        <v>62.252969999999998</v>
      </c>
    </row>
    <row r="71" spans="1:7" x14ac:dyDescent="0.3">
      <c r="A71">
        <v>2007</v>
      </c>
      <c r="B71">
        <v>2</v>
      </c>
      <c r="C71">
        <v>4.5</v>
      </c>
      <c r="D71">
        <v>2.6927699999999999</v>
      </c>
      <c r="E71">
        <f t="shared" si="1"/>
        <v>7.1927699999999994</v>
      </c>
      <c r="F71">
        <v>86.9</v>
      </c>
      <c r="G71" s="5">
        <v>61.572189999999999</v>
      </c>
    </row>
    <row r="72" spans="1:7" x14ac:dyDescent="0.3">
      <c r="A72">
        <v>2007</v>
      </c>
      <c r="B72">
        <v>3</v>
      </c>
      <c r="C72">
        <v>4.7</v>
      </c>
      <c r="D72">
        <v>2.8338299999999998</v>
      </c>
      <c r="E72">
        <f t="shared" si="1"/>
        <v>7.53383</v>
      </c>
      <c r="F72">
        <v>85.8</v>
      </c>
      <c r="G72" s="5">
        <v>61.848260000000003</v>
      </c>
    </row>
    <row r="73" spans="1:7" x14ac:dyDescent="0.3">
      <c r="A73">
        <v>2007</v>
      </c>
      <c r="B73">
        <v>4</v>
      </c>
      <c r="C73">
        <v>4.8</v>
      </c>
      <c r="D73">
        <v>4.1088100000000001</v>
      </c>
      <c r="E73">
        <f t="shared" si="1"/>
        <v>8.908809999999999</v>
      </c>
      <c r="F73">
        <v>77.5</v>
      </c>
      <c r="G73" s="5">
        <v>62.719239999999999</v>
      </c>
    </row>
    <row r="74" spans="1:7" x14ac:dyDescent="0.3">
      <c r="A74">
        <v>2008</v>
      </c>
      <c r="B74">
        <v>1</v>
      </c>
      <c r="C74">
        <v>5</v>
      </c>
      <c r="D74">
        <v>3.9748999999999999</v>
      </c>
      <c r="E74">
        <f t="shared" si="1"/>
        <v>8.9748999999999999</v>
      </c>
      <c r="F74">
        <v>72.900000000000006</v>
      </c>
      <c r="G74" s="5">
        <v>64.172780000000003</v>
      </c>
    </row>
    <row r="75" spans="1:7" x14ac:dyDescent="0.3">
      <c r="A75">
        <v>2008</v>
      </c>
      <c r="B75">
        <v>2</v>
      </c>
      <c r="C75">
        <v>5.3</v>
      </c>
      <c r="D75">
        <v>4.9359700000000002</v>
      </c>
      <c r="E75">
        <f t="shared" si="1"/>
        <v>10.23597</v>
      </c>
      <c r="F75">
        <v>59.6</v>
      </c>
      <c r="G75" s="5">
        <v>63.85172</v>
      </c>
    </row>
    <row r="76" spans="1:7" x14ac:dyDescent="0.3">
      <c r="A76">
        <v>2008</v>
      </c>
      <c r="B76">
        <v>3</v>
      </c>
      <c r="C76">
        <v>6</v>
      </c>
      <c r="D76">
        <v>4.9533199999999997</v>
      </c>
      <c r="E76">
        <f t="shared" si="1"/>
        <v>10.95332</v>
      </c>
      <c r="F76">
        <v>64.8</v>
      </c>
      <c r="G76" s="5">
        <v>67.284549999999996</v>
      </c>
    </row>
    <row r="77" spans="1:7" x14ac:dyDescent="0.3">
      <c r="A77">
        <v>2008</v>
      </c>
      <c r="B77">
        <v>4</v>
      </c>
      <c r="C77">
        <v>6.9</v>
      </c>
      <c r="D77">
        <v>-2.223E-2</v>
      </c>
      <c r="E77">
        <f t="shared" si="1"/>
        <v>6.8777699999999999</v>
      </c>
      <c r="F77">
        <v>57.7</v>
      </c>
      <c r="G77" s="5">
        <v>73.245149999999995</v>
      </c>
    </row>
    <row r="78" spans="1:7" x14ac:dyDescent="0.3">
      <c r="A78">
        <v>2009</v>
      </c>
      <c r="B78">
        <v>1</v>
      </c>
      <c r="C78">
        <v>8.3000000000000007</v>
      </c>
      <c r="D78">
        <v>-0.44647999999999999</v>
      </c>
      <c r="E78">
        <f t="shared" si="1"/>
        <v>7.8535200000000005</v>
      </c>
      <c r="F78">
        <v>58.3</v>
      </c>
      <c r="G78" s="5">
        <v>77.104960000000005</v>
      </c>
    </row>
    <row r="79" spans="1:7" x14ac:dyDescent="0.3">
      <c r="A79">
        <v>2009</v>
      </c>
      <c r="B79">
        <v>2</v>
      </c>
      <c r="C79">
        <v>9.3000000000000007</v>
      </c>
      <c r="D79">
        <v>-1.2291700000000001</v>
      </c>
      <c r="E79">
        <f t="shared" si="1"/>
        <v>8.0708300000000008</v>
      </c>
      <c r="F79">
        <v>68.2</v>
      </c>
      <c r="G79" s="5">
        <v>80.28013</v>
      </c>
    </row>
    <row r="80" spans="1:7" x14ac:dyDescent="0.3">
      <c r="A80">
        <v>2009</v>
      </c>
      <c r="B80">
        <v>3</v>
      </c>
      <c r="C80">
        <v>9.6</v>
      </c>
      <c r="D80">
        <v>-1.3779399999999999</v>
      </c>
      <c r="E80">
        <f t="shared" si="1"/>
        <v>8.222059999999999</v>
      </c>
      <c r="F80">
        <v>68.400000000000006</v>
      </c>
      <c r="G80" s="5">
        <v>82.427329999999998</v>
      </c>
    </row>
    <row r="81" spans="1:7" x14ac:dyDescent="0.3">
      <c r="A81">
        <v>2009</v>
      </c>
      <c r="B81">
        <v>4</v>
      </c>
      <c r="C81">
        <v>9.9</v>
      </c>
      <c r="D81">
        <v>2.81412</v>
      </c>
      <c r="E81">
        <f t="shared" si="1"/>
        <v>12.714120000000001</v>
      </c>
      <c r="F81">
        <v>70.099999999999994</v>
      </c>
      <c r="G81" s="5">
        <v>84.029349999999994</v>
      </c>
    </row>
    <row r="82" spans="1:7" x14ac:dyDescent="0.3">
      <c r="A82">
        <v>2010</v>
      </c>
      <c r="B82">
        <v>1</v>
      </c>
      <c r="C82">
        <v>9.8000000000000007</v>
      </c>
      <c r="D82">
        <v>2.2861699999999998</v>
      </c>
      <c r="E82">
        <f t="shared" si="1"/>
        <v>12.086170000000001</v>
      </c>
      <c r="F82">
        <v>73.900000000000006</v>
      </c>
      <c r="G82" s="5">
        <v>86.511750000000006</v>
      </c>
    </row>
    <row r="83" spans="1:7" x14ac:dyDescent="0.3">
      <c r="A83">
        <v>2010</v>
      </c>
      <c r="B83">
        <v>2</v>
      </c>
      <c r="C83">
        <v>9.6</v>
      </c>
      <c r="D83">
        <v>1.1215599999999999</v>
      </c>
      <c r="E83">
        <f t="shared" si="1"/>
        <v>10.72156</v>
      </c>
      <c r="F83">
        <v>73.900000000000006</v>
      </c>
      <c r="G83" s="5">
        <v>88.128320000000002</v>
      </c>
    </row>
    <row r="84" spans="1:7" x14ac:dyDescent="0.3">
      <c r="A84">
        <v>2010</v>
      </c>
      <c r="B84">
        <v>3</v>
      </c>
      <c r="C84">
        <v>9.5</v>
      </c>
      <c r="D84">
        <v>1.1183099999999999</v>
      </c>
      <c r="E84">
        <f t="shared" si="1"/>
        <v>10.618309999999999</v>
      </c>
      <c r="F84">
        <v>68.3</v>
      </c>
      <c r="G84" s="5">
        <v>89.565280000000001</v>
      </c>
    </row>
    <row r="85" spans="1:7" x14ac:dyDescent="0.3">
      <c r="A85">
        <v>2010</v>
      </c>
      <c r="B85">
        <v>4</v>
      </c>
      <c r="C85">
        <v>9.5</v>
      </c>
      <c r="D85">
        <v>1.4377899999999999</v>
      </c>
      <c r="E85">
        <f t="shared" si="1"/>
        <v>10.93779</v>
      </c>
      <c r="F85">
        <v>71.2</v>
      </c>
      <c r="G85" s="5">
        <v>91.611339999999998</v>
      </c>
    </row>
    <row r="86" spans="1:7" x14ac:dyDescent="0.3">
      <c r="A86">
        <v>2011</v>
      </c>
      <c r="B86">
        <v>1</v>
      </c>
      <c r="C86">
        <v>9</v>
      </c>
      <c r="D86">
        <v>2.61924</v>
      </c>
      <c r="E86">
        <f t="shared" si="1"/>
        <v>11.61924</v>
      </c>
      <c r="F86">
        <v>73.099999999999994</v>
      </c>
      <c r="G86" s="5">
        <v>92.956140000000005</v>
      </c>
    </row>
    <row r="87" spans="1:7" x14ac:dyDescent="0.3">
      <c r="A87">
        <v>2011</v>
      </c>
      <c r="B87">
        <v>2</v>
      </c>
      <c r="C87">
        <v>9.1</v>
      </c>
      <c r="D87">
        <v>3.5023200000000001</v>
      </c>
      <c r="E87">
        <f t="shared" si="1"/>
        <v>12.602319999999999</v>
      </c>
      <c r="F87">
        <v>71.900000000000006</v>
      </c>
      <c r="G87" s="5">
        <v>92.193799999999996</v>
      </c>
    </row>
    <row r="88" spans="1:7" x14ac:dyDescent="0.3">
      <c r="A88">
        <v>2011</v>
      </c>
      <c r="B88">
        <v>3</v>
      </c>
      <c r="C88">
        <v>9</v>
      </c>
      <c r="D88">
        <v>3.8126199999999999</v>
      </c>
      <c r="E88">
        <f t="shared" si="1"/>
        <v>12.812619999999999</v>
      </c>
      <c r="F88">
        <v>59.5</v>
      </c>
      <c r="G88" s="5">
        <v>94.520979999999994</v>
      </c>
    </row>
    <row r="89" spans="1:7" x14ac:dyDescent="0.3">
      <c r="A89">
        <v>2011</v>
      </c>
      <c r="B89">
        <v>4</v>
      </c>
      <c r="C89">
        <v>8.6</v>
      </c>
      <c r="D89">
        <v>3.0620699999999998</v>
      </c>
      <c r="E89">
        <f t="shared" si="1"/>
        <v>11.66207</v>
      </c>
      <c r="F89">
        <v>64.7</v>
      </c>
      <c r="G89" s="5">
        <v>96.090720000000005</v>
      </c>
    </row>
    <row r="90" spans="1:7" x14ac:dyDescent="0.3">
      <c r="A90">
        <v>2012</v>
      </c>
      <c r="B90">
        <v>1</v>
      </c>
      <c r="C90">
        <v>8.3000000000000007</v>
      </c>
      <c r="D90">
        <v>2.5828799999999998</v>
      </c>
      <c r="E90">
        <f t="shared" si="1"/>
        <v>10.88288</v>
      </c>
      <c r="F90">
        <v>75.5</v>
      </c>
      <c r="G90" s="5">
        <v>97.123080000000002</v>
      </c>
    </row>
    <row r="91" spans="1:7" x14ac:dyDescent="0.3">
      <c r="A91">
        <v>2012</v>
      </c>
      <c r="B91">
        <v>2</v>
      </c>
      <c r="C91">
        <v>8.1999999999999993</v>
      </c>
      <c r="D91">
        <v>1.65387</v>
      </c>
      <c r="E91">
        <f t="shared" si="1"/>
        <v>9.8538699999999988</v>
      </c>
      <c r="F91">
        <v>76.3</v>
      </c>
      <c r="G91" s="5">
        <v>97.827629999999999</v>
      </c>
    </row>
    <row r="92" spans="1:7" x14ac:dyDescent="0.3">
      <c r="A92">
        <v>2012</v>
      </c>
      <c r="B92">
        <v>3</v>
      </c>
      <c r="C92">
        <v>8</v>
      </c>
      <c r="D92">
        <v>1.9497199999999999</v>
      </c>
      <c r="E92">
        <f t="shared" si="1"/>
        <v>9.9497199999999992</v>
      </c>
      <c r="F92">
        <v>75</v>
      </c>
      <c r="G92" s="5">
        <v>98.447869999999995</v>
      </c>
    </row>
    <row r="93" spans="1:7" x14ac:dyDescent="0.3">
      <c r="A93">
        <v>2012</v>
      </c>
      <c r="B93">
        <v>4</v>
      </c>
      <c r="C93">
        <v>7.8</v>
      </c>
      <c r="D93">
        <v>1.7595000000000001</v>
      </c>
      <c r="E93">
        <f t="shared" si="1"/>
        <v>9.5594999999999999</v>
      </c>
      <c r="F93">
        <v>79.400000000000006</v>
      </c>
      <c r="G93" s="5">
        <v>100.07496999999999</v>
      </c>
    </row>
    <row r="94" spans="1:7" x14ac:dyDescent="0.3">
      <c r="A94">
        <v>2013</v>
      </c>
      <c r="B94">
        <v>1</v>
      </c>
      <c r="C94">
        <v>7.7</v>
      </c>
      <c r="D94">
        <v>1.51875</v>
      </c>
      <c r="E94">
        <f t="shared" si="1"/>
        <v>9.21875</v>
      </c>
      <c r="F94">
        <v>76.7</v>
      </c>
      <c r="G94" s="5">
        <v>100.73997</v>
      </c>
    </row>
    <row r="95" spans="1:7" x14ac:dyDescent="0.3">
      <c r="A95">
        <v>2013</v>
      </c>
      <c r="B95">
        <v>2</v>
      </c>
      <c r="C95">
        <v>7.5</v>
      </c>
      <c r="D95">
        <v>1.7157899999999999</v>
      </c>
      <c r="E95">
        <f t="shared" si="1"/>
        <v>9.2157900000000001</v>
      </c>
      <c r="F95">
        <v>81.7</v>
      </c>
      <c r="G95" s="5">
        <v>100.05758</v>
      </c>
    </row>
    <row r="96" spans="1:7" x14ac:dyDescent="0.3">
      <c r="A96">
        <v>2013</v>
      </c>
      <c r="B96">
        <v>3</v>
      </c>
      <c r="C96">
        <v>7.2</v>
      </c>
      <c r="D96">
        <v>1.09473</v>
      </c>
      <c r="E96">
        <f t="shared" si="1"/>
        <v>8.2947299999999995</v>
      </c>
      <c r="F96">
        <v>81.599999999999994</v>
      </c>
      <c r="G96" s="5">
        <v>98.727969999999999</v>
      </c>
    </row>
    <row r="97" spans="1:7" x14ac:dyDescent="0.3">
      <c r="A97">
        <v>2013</v>
      </c>
      <c r="B97">
        <v>4</v>
      </c>
      <c r="C97">
        <v>6.9</v>
      </c>
      <c r="D97">
        <v>1.51284</v>
      </c>
      <c r="E97">
        <f t="shared" si="1"/>
        <v>8.412840000000001</v>
      </c>
      <c r="F97">
        <v>76.900000000000006</v>
      </c>
      <c r="G97" s="5">
        <v>99.791179999999997</v>
      </c>
    </row>
    <row r="98" spans="1:7" x14ac:dyDescent="0.3">
      <c r="A98">
        <v>2014</v>
      </c>
      <c r="B98">
        <v>1</v>
      </c>
      <c r="C98">
        <v>6.7</v>
      </c>
      <c r="D98">
        <v>1.61269</v>
      </c>
      <c r="E98">
        <f t="shared" si="1"/>
        <v>8.3126899999999999</v>
      </c>
      <c r="F98">
        <v>80.900000000000006</v>
      </c>
      <c r="G98" s="5">
        <v>102.34617</v>
      </c>
    </row>
    <row r="99" spans="1:7" x14ac:dyDescent="0.3">
      <c r="A99">
        <v>2014</v>
      </c>
      <c r="B99">
        <v>2</v>
      </c>
      <c r="C99">
        <v>6.2</v>
      </c>
      <c r="D99">
        <v>2.05898</v>
      </c>
      <c r="E99">
        <f t="shared" si="1"/>
        <v>8.2589800000000011</v>
      </c>
      <c r="F99">
        <v>82.8</v>
      </c>
      <c r="G99" s="5">
        <v>100.65130000000001</v>
      </c>
    </row>
    <row r="100" spans="1:7" x14ac:dyDescent="0.3">
      <c r="A100">
        <v>2014</v>
      </c>
      <c r="B100">
        <v>3</v>
      </c>
      <c r="C100">
        <v>6.1</v>
      </c>
      <c r="D100">
        <v>1.68405</v>
      </c>
      <c r="E100">
        <f t="shared" si="1"/>
        <v>7.7840499999999997</v>
      </c>
      <c r="F100">
        <v>83</v>
      </c>
      <c r="G100" s="5">
        <v>100.11145</v>
      </c>
    </row>
    <row r="101" spans="1:7" x14ac:dyDescent="0.3">
      <c r="A101">
        <v>2014</v>
      </c>
      <c r="B101">
        <v>4</v>
      </c>
      <c r="C101">
        <v>5.7</v>
      </c>
      <c r="D101">
        <v>0.65312000000000003</v>
      </c>
      <c r="E101">
        <f t="shared" si="1"/>
        <v>6.3531200000000005</v>
      </c>
      <c r="F101">
        <v>89.8</v>
      </c>
      <c r="G101" s="5">
        <v>101.2805</v>
      </c>
    </row>
    <row r="102" spans="1:7" x14ac:dyDescent="0.3">
      <c r="A102">
        <v>2015</v>
      </c>
      <c r="B102">
        <v>1</v>
      </c>
      <c r="C102">
        <v>5.5</v>
      </c>
      <c r="D102">
        <v>-2.2030000000000001E-2</v>
      </c>
      <c r="E102">
        <f t="shared" si="1"/>
        <v>5.47797</v>
      </c>
      <c r="F102">
        <v>95.5</v>
      </c>
      <c r="G102" s="5">
        <v>100.49009</v>
      </c>
    </row>
    <row r="103" spans="1:7" x14ac:dyDescent="0.3">
      <c r="A103">
        <v>2015</v>
      </c>
      <c r="B103">
        <v>2</v>
      </c>
      <c r="C103">
        <v>5.4</v>
      </c>
      <c r="D103">
        <v>0.17957000000000001</v>
      </c>
      <c r="E103">
        <f t="shared" si="1"/>
        <v>5.5795700000000004</v>
      </c>
      <c r="F103">
        <v>94.2</v>
      </c>
      <c r="G103" s="5">
        <v>99.300939999999997</v>
      </c>
    </row>
    <row r="104" spans="1:7" x14ac:dyDescent="0.3">
      <c r="A104">
        <v>2015</v>
      </c>
      <c r="B104">
        <v>3</v>
      </c>
      <c r="C104">
        <v>5.0999999999999996</v>
      </c>
      <c r="D104">
        <v>8.8400000000000006E-3</v>
      </c>
      <c r="E104">
        <f t="shared" si="1"/>
        <v>5.1088399999999998</v>
      </c>
      <c r="F104">
        <v>90.8</v>
      </c>
      <c r="G104" s="5">
        <v>98.635949999999994</v>
      </c>
    </row>
    <row r="105" spans="1:7" x14ac:dyDescent="0.3">
      <c r="A105">
        <v>2015</v>
      </c>
      <c r="B105">
        <v>4</v>
      </c>
      <c r="C105">
        <v>5</v>
      </c>
      <c r="D105">
        <v>0.63871999999999995</v>
      </c>
      <c r="E105">
        <f t="shared" si="1"/>
        <v>5.6387200000000002</v>
      </c>
      <c r="F105">
        <v>91.3</v>
      </c>
      <c r="G105" s="5">
        <v>102.64192</v>
      </c>
    </row>
    <row r="106" spans="1:7" x14ac:dyDescent="0.3">
      <c r="A106">
        <v>2016</v>
      </c>
      <c r="B106">
        <v>1</v>
      </c>
      <c r="C106">
        <v>4.9000000000000004</v>
      </c>
      <c r="D106">
        <v>0.89161999999999997</v>
      </c>
      <c r="E106">
        <f t="shared" si="1"/>
        <v>5.79162</v>
      </c>
      <c r="F106">
        <v>91.5</v>
      </c>
      <c r="G106" s="5">
        <v>103.98904</v>
      </c>
    </row>
    <row r="107" spans="1:7" x14ac:dyDescent="0.3">
      <c r="A107">
        <v>2016</v>
      </c>
      <c r="B107">
        <v>2</v>
      </c>
      <c r="C107">
        <v>4.9000000000000004</v>
      </c>
      <c r="D107">
        <v>1.0792900000000001</v>
      </c>
      <c r="E107">
        <f t="shared" si="1"/>
        <v>5.9792900000000007</v>
      </c>
      <c r="F107">
        <v>92.4</v>
      </c>
      <c r="G107" s="5">
        <v>103.58005</v>
      </c>
    </row>
    <row r="108" spans="1:7" x14ac:dyDescent="0.3">
      <c r="A108">
        <v>2016</v>
      </c>
      <c r="B108">
        <v>3</v>
      </c>
      <c r="C108">
        <v>4.9000000000000004</v>
      </c>
      <c r="D108">
        <v>1.54864</v>
      </c>
      <c r="E108">
        <f t="shared" si="1"/>
        <v>6.4486400000000001</v>
      </c>
      <c r="F108">
        <v>90.3</v>
      </c>
      <c r="G108" s="5">
        <v>103.60355</v>
      </c>
    </row>
    <row r="109" spans="1:7" x14ac:dyDescent="0.3">
      <c r="A109">
        <v>2016</v>
      </c>
      <c r="B109">
        <v>4</v>
      </c>
      <c r="C109">
        <v>4.8</v>
      </c>
      <c r="D109">
        <v>2.0508000000000002</v>
      </c>
      <c r="E109">
        <f t="shared" si="1"/>
        <v>6.8507999999999996</v>
      </c>
      <c r="F109">
        <v>93.2</v>
      </c>
      <c r="G109" s="5">
        <v>104.64891</v>
      </c>
    </row>
    <row r="110" spans="1:7" x14ac:dyDescent="0.3">
      <c r="A110">
        <v>2017</v>
      </c>
      <c r="B110">
        <v>1</v>
      </c>
      <c r="C110">
        <v>4.5999999999999996</v>
      </c>
      <c r="D110">
        <v>2.4411999999999998</v>
      </c>
      <c r="E110">
        <f t="shared" si="1"/>
        <v>7.0411999999999999</v>
      </c>
      <c r="F110">
        <v>97.2</v>
      </c>
      <c r="G110" s="5">
        <v>102.93741</v>
      </c>
    </row>
    <row r="111" spans="1:7" x14ac:dyDescent="0.3">
      <c r="A111">
        <v>2017</v>
      </c>
      <c r="B111">
        <v>2</v>
      </c>
      <c r="C111">
        <v>4.4000000000000004</v>
      </c>
      <c r="D111">
        <v>1.6405700000000001</v>
      </c>
      <c r="E111">
        <f t="shared" si="1"/>
        <v>6.0405700000000007</v>
      </c>
      <c r="F111">
        <v>96.4</v>
      </c>
      <c r="G111" s="5">
        <v>102.08817000000001</v>
      </c>
    </row>
    <row r="112" spans="1:7" x14ac:dyDescent="0.3">
      <c r="A112">
        <v>2017</v>
      </c>
      <c r="B112">
        <v>3</v>
      </c>
      <c r="C112">
        <v>4.3</v>
      </c>
      <c r="D112">
        <v>2.1805699999999999</v>
      </c>
      <c r="E112">
        <f t="shared" si="1"/>
        <v>6.4805700000000002</v>
      </c>
      <c r="F112">
        <v>95.1</v>
      </c>
      <c r="G112" s="5">
        <v>102.80463</v>
      </c>
    </row>
    <row r="113" spans="1:7" x14ac:dyDescent="0.3">
      <c r="A113">
        <v>2017</v>
      </c>
      <c r="B113">
        <v>4</v>
      </c>
      <c r="C113">
        <v>4.2</v>
      </c>
      <c r="D113">
        <v>2.1299299999999999</v>
      </c>
      <c r="E113">
        <f t="shared" si="1"/>
        <v>6.3299300000000001</v>
      </c>
      <c r="F113">
        <v>98.4</v>
      </c>
      <c r="G113" s="5">
        <v>102.27408</v>
      </c>
    </row>
    <row r="114" spans="1:7" x14ac:dyDescent="0.3">
      <c r="A114">
        <v>2018</v>
      </c>
      <c r="B114">
        <v>1</v>
      </c>
      <c r="C114">
        <v>4</v>
      </c>
      <c r="D114">
        <v>2.3309500000000001</v>
      </c>
      <c r="E114">
        <f t="shared" si="1"/>
        <v>6.3309499999999996</v>
      </c>
      <c r="F114">
        <v>98.9</v>
      </c>
      <c r="G114" s="5">
        <v>103.74395</v>
      </c>
    </row>
    <row r="115" spans="1:7" x14ac:dyDescent="0.3">
      <c r="A115">
        <v>2018</v>
      </c>
      <c r="B115">
        <v>2</v>
      </c>
      <c r="C115">
        <v>3.9</v>
      </c>
      <c r="D115">
        <v>2.80755</v>
      </c>
      <c r="E115">
        <f t="shared" si="1"/>
        <v>6.7075499999999995</v>
      </c>
      <c r="F115">
        <v>98.3</v>
      </c>
      <c r="G115" s="5">
        <v>102.98411</v>
      </c>
    </row>
    <row r="116" spans="1:7" x14ac:dyDescent="0.3">
      <c r="A116">
        <v>2018</v>
      </c>
      <c r="B116">
        <v>3</v>
      </c>
      <c r="C116">
        <v>3.8</v>
      </c>
      <c r="D116">
        <v>2.3320599999999998</v>
      </c>
      <c r="E116">
        <f t="shared" si="1"/>
        <v>6.1320599999999992</v>
      </c>
      <c r="F116">
        <v>98.1</v>
      </c>
      <c r="G116" s="5">
        <v>103.44889999999999</v>
      </c>
    </row>
    <row r="117" spans="1:7" x14ac:dyDescent="0.3">
      <c r="A117">
        <v>2018</v>
      </c>
      <c r="B117">
        <v>4</v>
      </c>
      <c r="C117">
        <v>3.8</v>
      </c>
      <c r="D117">
        <v>2.00238</v>
      </c>
      <c r="E117">
        <f t="shared" si="1"/>
        <v>5.8023799999999994</v>
      </c>
      <c r="F117">
        <v>98.2</v>
      </c>
      <c r="G117" s="5">
        <v>105.04940999999999</v>
      </c>
    </row>
    <row r="118" spans="1:7" x14ac:dyDescent="0.3">
      <c r="A118">
        <v>2019</v>
      </c>
      <c r="B118">
        <v>1</v>
      </c>
      <c r="C118">
        <v>3.9</v>
      </c>
      <c r="D118">
        <v>1.8831899999999999</v>
      </c>
      <c r="E118">
        <f t="shared" si="1"/>
        <v>5.7831899999999994</v>
      </c>
      <c r="F118">
        <v>94.5</v>
      </c>
      <c r="G118" s="5">
        <v>104.34017</v>
      </c>
    </row>
    <row r="119" spans="1:7" x14ac:dyDescent="0.3">
      <c r="A119">
        <v>2019</v>
      </c>
      <c r="B119">
        <v>2</v>
      </c>
      <c r="C119">
        <v>3.6</v>
      </c>
      <c r="D119">
        <v>1.67119</v>
      </c>
      <c r="E119">
        <f t="shared" si="1"/>
        <v>5.2711899999999998</v>
      </c>
      <c r="F119">
        <v>98.4</v>
      </c>
      <c r="G119" s="5">
        <v>102.92245</v>
      </c>
    </row>
    <row r="120" spans="1:7" x14ac:dyDescent="0.3">
      <c r="A120">
        <v>2019</v>
      </c>
      <c r="B120">
        <v>3</v>
      </c>
      <c r="C120">
        <v>3.6</v>
      </c>
      <c r="D120">
        <v>1.6845000000000001</v>
      </c>
      <c r="E120">
        <f t="shared" si="1"/>
        <v>5.2845000000000004</v>
      </c>
      <c r="F120">
        <v>93.8</v>
      </c>
      <c r="G120" s="5">
        <v>104.61492</v>
      </c>
    </row>
    <row r="121" spans="1:7" x14ac:dyDescent="0.3">
      <c r="A121">
        <v>2019</v>
      </c>
      <c r="B121">
        <v>4</v>
      </c>
      <c r="C121">
        <v>3.6</v>
      </c>
      <c r="D121">
        <v>2.3195299999999999</v>
      </c>
      <c r="E121">
        <f t="shared" si="1"/>
        <v>5.91953</v>
      </c>
      <c r="F121">
        <v>97.2</v>
      </c>
      <c r="G121" s="5">
        <v>105.78193</v>
      </c>
    </row>
    <row r="122" spans="1:7" x14ac:dyDescent="0.3">
      <c r="A122">
        <v>2020</v>
      </c>
      <c r="B122">
        <v>1</v>
      </c>
      <c r="C122">
        <v>3.8</v>
      </c>
      <c r="D122">
        <v>1.49404</v>
      </c>
      <c r="E122">
        <f t="shared" si="1"/>
        <v>5.2940399999999999</v>
      </c>
      <c r="F122">
        <v>96.4</v>
      </c>
      <c r="G122" s="5">
        <v>106.88594999999999</v>
      </c>
    </row>
    <row r="123" spans="1:7" x14ac:dyDescent="0.3">
      <c r="A123">
        <v>2020</v>
      </c>
      <c r="B123">
        <v>2</v>
      </c>
      <c r="C123">
        <v>13</v>
      </c>
      <c r="D123">
        <v>0.71665999999999996</v>
      </c>
      <c r="E123">
        <f t="shared" si="1"/>
        <v>13.716659999999999</v>
      </c>
      <c r="F123">
        <v>74</v>
      </c>
      <c r="G123" s="5">
        <v>132.81489999999999</v>
      </c>
    </row>
    <row r="124" spans="1:7" x14ac:dyDescent="0.3">
      <c r="A124">
        <v>2020</v>
      </c>
      <c r="B124">
        <v>3</v>
      </c>
      <c r="C124">
        <v>8.8000000000000007</v>
      </c>
      <c r="D124">
        <v>1.3910199999999999</v>
      </c>
      <c r="E124">
        <f t="shared" si="1"/>
        <v>10.19102</v>
      </c>
      <c r="F124">
        <v>75.599999999999994</v>
      </c>
      <c r="G124" s="5">
        <v>124.26076999999999</v>
      </c>
    </row>
    <row r="125" spans="1:7" x14ac:dyDescent="0.3">
      <c r="A125">
        <v>2020</v>
      </c>
      <c r="B125">
        <v>4</v>
      </c>
      <c r="C125">
        <v>6.8</v>
      </c>
      <c r="D125">
        <v>1.3204199999999999</v>
      </c>
      <c r="E125">
        <f t="shared" si="1"/>
        <v>8.1204199999999993</v>
      </c>
      <c r="F125">
        <v>79.8</v>
      </c>
      <c r="G125" s="5">
        <v>125.73334</v>
      </c>
    </row>
    <row r="126" spans="1:7" x14ac:dyDescent="0.3">
      <c r="A126">
        <v>2021</v>
      </c>
      <c r="B126">
        <v>1</v>
      </c>
      <c r="C126">
        <v>6.2</v>
      </c>
      <c r="D126">
        <v>2.62365</v>
      </c>
      <c r="E126">
        <f t="shared" si="1"/>
        <v>8.8236500000000007</v>
      </c>
      <c r="F126">
        <v>80.2</v>
      </c>
      <c r="G126" s="5">
        <v>124.16837</v>
      </c>
    </row>
    <row r="127" spans="1:7" x14ac:dyDescent="0.3">
      <c r="A127">
        <v>2021</v>
      </c>
      <c r="B127">
        <v>2</v>
      </c>
      <c r="C127">
        <v>5.9</v>
      </c>
      <c r="D127">
        <v>5.3174200000000003</v>
      </c>
      <c r="E127">
        <f t="shared" si="1"/>
        <v>11.217420000000001</v>
      </c>
      <c r="F127">
        <v>85.6</v>
      </c>
      <c r="G127" s="5">
        <v>122.08313</v>
      </c>
    </row>
    <row r="128" spans="1:7" x14ac:dyDescent="0.3">
      <c r="A128">
        <v>2021</v>
      </c>
      <c r="B128">
        <v>3</v>
      </c>
      <c r="C128">
        <v>5.0999999999999996</v>
      </c>
      <c r="D128">
        <v>5.3635200000000003</v>
      </c>
      <c r="E128">
        <f t="shared" si="1"/>
        <v>10.463519999999999</v>
      </c>
      <c r="F128">
        <v>74.8</v>
      </c>
      <c r="G128" s="5">
        <v>118.84010000000001</v>
      </c>
    </row>
    <row r="129" spans="1:7" x14ac:dyDescent="0.3">
      <c r="A129">
        <v>2021</v>
      </c>
      <c r="B129">
        <v>4</v>
      </c>
      <c r="C129">
        <v>4.2</v>
      </c>
      <c r="D129">
        <v>7.1594600000000002</v>
      </c>
      <c r="E129">
        <f t="shared" si="1"/>
        <v>11.35946</v>
      </c>
      <c r="F129">
        <v>69.900000000000006</v>
      </c>
      <c r="G129" s="5">
        <v>119.53493</v>
      </c>
    </row>
    <row r="130" spans="1:7" x14ac:dyDescent="0.3">
      <c r="A130">
        <v>2022</v>
      </c>
      <c r="B130">
        <v>1</v>
      </c>
      <c r="C130">
        <v>3.8</v>
      </c>
      <c r="D130">
        <v>8.5407799999999998</v>
      </c>
      <c r="E130">
        <f t="shared" ref="E130:E143" si="2">C130+D130</f>
        <v>12.340779999999999</v>
      </c>
      <c r="F130">
        <v>63.1</v>
      </c>
      <c r="G130" s="5">
        <v>120.56462000000001</v>
      </c>
    </row>
    <row r="131" spans="1:7" x14ac:dyDescent="0.3">
      <c r="A131">
        <v>2022</v>
      </c>
      <c r="B131">
        <v>2</v>
      </c>
      <c r="C131">
        <v>3.6</v>
      </c>
      <c r="D131">
        <v>8.9992999999999999</v>
      </c>
      <c r="E131">
        <f t="shared" si="2"/>
        <v>12.599299999999999</v>
      </c>
      <c r="F131">
        <v>57.8</v>
      </c>
      <c r="G131" s="5">
        <v>118.45629</v>
      </c>
    </row>
    <row r="132" spans="1:7" x14ac:dyDescent="0.3">
      <c r="A132">
        <v>2022</v>
      </c>
      <c r="B132">
        <v>3</v>
      </c>
      <c r="C132">
        <v>3.5</v>
      </c>
      <c r="D132">
        <v>8.2057500000000001</v>
      </c>
      <c r="E132">
        <f t="shared" si="2"/>
        <v>11.70575</v>
      </c>
      <c r="F132">
        <v>56.1</v>
      </c>
      <c r="G132" s="5">
        <v>117.72571000000001</v>
      </c>
    </row>
    <row r="133" spans="1:7" x14ac:dyDescent="0.3">
      <c r="A133">
        <v>2022</v>
      </c>
      <c r="B133">
        <v>4</v>
      </c>
      <c r="C133">
        <v>3.6</v>
      </c>
      <c r="D133">
        <v>6.4108299999999998</v>
      </c>
      <c r="E133">
        <f t="shared" si="2"/>
        <v>10.01083</v>
      </c>
      <c r="F133">
        <v>58.8</v>
      </c>
      <c r="G133" s="5">
        <v>117.52585999999999</v>
      </c>
    </row>
    <row r="134" spans="1:7" x14ac:dyDescent="0.3">
      <c r="A134">
        <v>2023</v>
      </c>
      <c r="B134">
        <v>1</v>
      </c>
      <c r="C134">
        <v>3.5</v>
      </c>
      <c r="D134">
        <v>4.9313500000000001</v>
      </c>
      <c r="E134">
        <f t="shared" si="2"/>
        <v>8.4313500000000001</v>
      </c>
      <c r="F134">
        <v>64.599999999999994</v>
      </c>
      <c r="G134" s="5">
        <v>115.80777</v>
      </c>
    </row>
    <row r="135" spans="1:7" x14ac:dyDescent="0.3">
      <c r="A135">
        <v>2023</v>
      </c>
      <c r="B135">
        <v>2</v>
      </c>
      <c r="C135">
        <v>3.5</v>
      </c>
      <c r="D135">
        <v>3.05925</v>
      </c>
      <c r="E135">
        <f t="shared" si="2"/>
        <v>6.5592500000000005</v>
      </c>
      <c r="F135">
        <v>62.3</v>
      </c>
      <c r="G135" s="5">
        <v>117.76969</v>
      </c>
    </row>
    <row r="136" spans="1:7" x14ac:dyDescent="0.3">
      <c r="A136">
        <v>2023</v>
      </c>
      <c r="B136">
        <v>3</v>
      </c>
      <c r="C136">
        <v>3.7</v>
      </c>
      <c r="D136">
        <v>3.6950799999999999</v>
      </c>
      <c r="E136">
        <f t="shared" si="2"/>
        <v>7.3950800000000001</v>
      </c>
      <c r="F136">
        <v>69.599999999999994</v>
      </c>
      <c r="G136" s="5">
        <v>118.59157999999999</v>
      </c>
    </row>
    <row r="137" spans="1:7" x14ac:dyDescent="0.3">
      <c r="A137">
        <v>2023</v>
      </c>
      <c r="B137">
        <v>4</v>
      </c>
      <c r="C137">
        <v>3.8</v>
      </c>
      <c r="D137">
        <v>3.3222</v>
      </c>
      <c r="E137">
        <f t="shared" si="2"/>
        <v>7.1221999999999994</v>
      </c>
      <c r="F137">
        <v>64.900000000000006</v>
      </c>
      <c r="G137" s="5">
        <v>120.15949999999999</v>
      </c>
    </row>
    <row r="138" spans="1:7" x14ac:dyDescent="0.3">
      <c r="A138">
        <v>2024</v>
      </c>
      <c r="B138">
        <v>1</v>
      </c>
      <c r="C138">
        <v>3.8</v>
      </c>
      <c r="D138">
        <v>3.4689999999999999</v>
      </c>
      <c r="E138">
        <f t="shared" si="2"/>
        <v>7.2690000000000001</v>
      </c>
      <c r="F138">
        <v>78.400000000000006</v>
      </c>
      <c r="G138" s="5">
        <v>120.83025000000001</v>
      </c>
    </row>
    <row r="139" spans="1:7" x14ac:dyDescent="0.3">
      <c r="A139">
        <v>2024</v>
      </c>
      <c r="B139">
        <v>2</v>
      </c>
      <c r="C139">
        <v>4</v>
      </c>
      <c r="D139">
        <v>2.9700899999999999</v>
      </c>
      <c r="E139">
        <f t="shared" si="2"/>
        <v>6.9700899999999999</v>
      </c>
      <c r="F139">
        <v>71.5</v>
      </c>
      <c r="G139" s="5">
        <v>120.0399</v>
      </c>
    </row>
    <row r="140" spans="1:7" x14ac:dyDescent="0.3">
      <c r="A140">
        <v>2024</v>
      </c>
      <c r="B140">
        <v>3</v>
      </c>
      <c r="C140">
        <v>4.2</v>
      </c>
      <c r="D140">
        <v>2.4325399999999999</v>
      </c>
      <c r="E140">
        <f t="shared" si="2"/>
        <v>6.6325400000000005</v>
      </c>
      <c r="F140">
        <v>68.099999999999994</v>
      </c>
      <c r="G140" s="5">
        <v>120.73116</v>
      </c>
    </row>
    <row r="141" spans="1:7" x14ac:dyDescent="0.3">
      <c r="A141">
        <v>2024</v>
      </c>
      <c r="B141">
        <v>4</v>
      </c>
      <c r="C141">
        <v>4.0999999999999996</v>
      </c>
      <c r="D141">
        <v>2.8723700000000001</v>
      </c>
      <c r="E141">
        <f t="shared" si="2"/>
        <v>6.9723699999999997</v>
      </c>
      <c r="F141">
        <v>72.099999999999994</v>
      </c>
      <c r="G141" s="5">
        <v>121.85026000000001</v>
      </c>
    </row>
    <row r="142" spans="1:7" x14ac:dyDescent="0.3">
      <c r="A142">
        <v>2025</v>
      </c>
      <c r="B142">
        <v>1</v>
      </c>
      <c r="C142">
        <v>4.0999999999999996</v>
      </c>
      <c r="D142">
        <v>2.4055900000000001</v>
      </c>
      <c r="E142">
        <f t="shared" si="2"/>
        <v>6.5055899999999998</v>
      </c>
      <c r="F142">
        <v>64.5</v>
      </c>
      <c r="G142" s="5">
        <v>120.86</v>
      </c>
    </row>
    <row r="143" spans="1:7" x14ac:dyDescent="0.3">
      <c r="A143">
        <v>2025</v>
      </c>
      <c r="B143">
        <v>2</v>
      </c>
      <c r="C143">
        <v>4.2</v>
      </c>
      <c r="D143" s="10">
        <v>2.7</v>
      </c>
      <c r="E143" s="10">
        <f t="shared" si="2"/>
        <v>6.9</v>
      </c>
      <c r="F143">
        <v>55</v>
      </c>
      <c r="G143" s="5">
        <v>119.29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500B-D2F6-435D-BE6F-F88D1AECF4BC}">
  <dimension ref="A1:H37"/>
  <sheetViews>
    <sheetView workbookViewId="0">
      <selection sqref="A1:H1"/>
    </sheetView>
  </sheetViews>
  <sheetFormatPr defaultRowHeight="14.4" x14ac:dyDescent="0.3"/>
  <cols>
    <col min="6" max="6" width="11.21875" bestFit="1" customWidth="1"/>
    <col min="7" max="7" width="13.88671875" bestFit="1" customWidth="1"/>
  </cols>
  <sheetData>
    <row r="1" spans="1:8" x14ac:dyDescent="0.3">
      <c r="A1" t="s">
        <v>27</v>
      </c>
      <c r="B1" t="s">
        <v>28</v>
      </c>
      <c r="C1" t="s">
        <v>29</v>
      </c>
      <c r="D1" t="s">
        <v>30</v>
      </c>
      <c r="E1" t="s">
        <v>34</v>
      </c>
      <c r="F1" t="s">
        <v>33</v>
      </c>
      <c r="G1" t="s">
        <v>31</v>
      </c>
      <c r="H1" t="s">
        <v>32</v>
      </c>
    </row>
    <row r="2" spans="1:8" x14ac:dyDescent="0.3">
      <c r="A2">
        <v>2016</v>
      </c>
      <c r="B2">
        <v>1</v>
      </c>
      <c r="C2">
        <v>4.9000000000000004</v>
      </c>
      <c r="D2">
        <v>0.89161999999999997</v>
      </c>
      <c r="E2">
        <v>-1.1644208445587596</v>
      </c>
      <c r="F2">
        <v>0.32112000000000002</v>
      </c>
      <c r="G2">
        <v>0.52433658376748882</v>
      </c>
      <c r="H2">
        <v>103.98904</v>
      </c>
    </row>
    <row r="3" spans="1:8" x14ac:dyDescent="0.3">
      <c r="A3">
        <v>2016</v>
      </c>
      <c r="B3">
        <v>2</v>
      </c>
      <c r="C3">
        <v>4.9000000000000004</v>
      </c>
      <c r="D3">
        <v>1.0792900000000001</v>
      </c>
      <c r="E3">
        <v>-1.1074060932234031</v>
      </c>
      <c r="F3">
        <v>0.70938999999999997</v>
      </c>
      <c r="G3">
        <v>0.5938101546159299</v>
      </c>
      <c r="H3">
        <v>103.58005</v>
      </c>
    </row>
    <row r="4" spans="1:8" x14ac:dyDescent="0.3">
      <c r="A4">
        <v>2016</v>
      </c>
      <c r="B4">
        <v>3</v>
      </c>
      <c r="C4">
        <v>4.9000000000000004</v>
      </c>
      <c r="D4">
        <v>1.54864</v>
      </c>
      <c r="E4">
        <v>-0.96481604932054477</v>
      </c>
      <c r="F4">
        <v>0.55430000000000001</v>
      </c>
      <c r="G4">
        <v>0.43170515596956771</v>
      </c>
      <c r="H4">
        <v>103.60355</v>
      </c>
    </row>
    <row r="5" spans="1:8" x14ac:dyDescent="0.3">
      <c r="A5">
        <v>2016</v>
      </c>
      <c r="B5">
        <v>4</v>
      </c>
      <c r="C5">
        <v>4.8</v>
      </c>
      <c r="D5">
        <v>2.0508000000000002</v>
      </c>
      <c r="E5">
        <v>-0.84263854414109762</v>
      </c>
      <c r="F5">
        <v>0.48688999999999999</v>
      </c>
      <c r="G5">
        <v>0.6555644398145436</v>
      </c>
      <c r="H5">
        <v>104.64891</v>
      </c>
    </row>
    <row r="6" spans="1:8" x14ac:dyDescent="0.3">
      <c r="A6">
        <v>2017</v>
      </c>
      <c r="B6">
        <v>1</v>
      </c>
      <c r="C6">
        <v>4.5999999999999996</v>
      </c>
      <c r="D6">
        <v>2.4411999999999998</v>
      </c>
      <c r="E6">
        <v>-0.78479441000004235</v>
      </c>
      <c r="F6">
        <v>0.55986999999999998</v>
      </c>
      <c r="G6">
        <v>0.96433586580761332</v>
      </c>
      <c r="H6">
        <v>102.93741</v>
      </c>
    </row>
    <row r="7" spans="1:8" x14ac:dyDescent="0.3">
      <c r="A7">
        <v>2017</v>
      </c>
      <c r="B7">
        <v>2</v>
      </c>
      <c r="C7">
        <v>4.4000000000000004</v>
      </c>
      <c r="D7">
        <v>1.6405700000000001</v>
      </c>
      <c r="E7">
        <v>-1.0887890315628785</v>
      </c>
      <c r="F7">
        <v>0.78852</v>
      </c>
      <c r="G7">
        <v>0.90258158060899962</v>
      </c>
      <c r="H7">
        <v>102.08817000000001</v>
      </c>
    </row>
    <row r="8" spans="1:8" x14ac:dyDescent="0.3">
      <c r="A8">
        <v>2017</v>
      </c>
      <c r="B8">
        <v>3</v>
      </c>
      <c r="C8">
        <v>4.3</v>
      </c>
      <c r="D8">
        <v>2.1805699999999999</v>
      </c>
      <c r="E8">
        <v>-0.95511561232934783</v>
      </c>
      <c r="F8">
        <v>1.1270500000000001</v>
      </c>
      <c r="G8">
        <v>0.80223086716125103</v>
      </c>
      <c r="H8">
        <v>102.80463</v>
      </c>
    </row>
    <row r="9" spans="1:8" x14ac:dyDescent="0.3">
      <c r="A9">
        <v>2017</v>
      </c>
      <c r="B9">
        <v>4</v>
      </c>
      <c r="C9">
        <v>4.2</v>
      </c>
      <c r="D9">
        <v>2.1299299999999999</v>
      </c>
      <c r="E9">
        <v>-1.0008805302233004</v>
      </c>
      <c r="F9">
        <v>0.81340999999999997</v>
      </c>
      <c r="G9">
        <v>1.0569672936055345</v>
      </c>
      <c r="H9">
        <v>102.27408</v>
      </c>
    </row>
    <row r="10" spans="1:8" x14ac:dyDescent="0.3">
      <c r="A10">
        <v>2018</v>
      </c>
      <c r="B10">
        <v>1</v>
      </c>
      <c r="C10">
        <v>4</v>
      </c>
      <c r="D10">
        <v>2.3309500000000001</v>
      </c>
      <c r="E10">
        <v>-1.000570650933259</v>
      </c>
      <c r="F10">
        <v>0.53083000000000002</v>
      </c>
      <c r="G10">
        <v>1.0955637218546681</v>
      </c>
      <c r="H10">
        <v>103.74395</v>
      </c>
    </row>
    <row r="11" spans="1:8" x14ac:dyDescent="0.3">
      <c r="A11">
        <v>2018</v>
      </c>
      <c r="B11">
        <v>2</v>
      </c>
      <c r="C11">
        <v>3.9</v>
      </c>
      <c r="D11">
        <v>2.80755</v>
      </c>
      <c r="E11">
        <v>-0.88615835619837791</v>
      </c>
      <c r="F11">
        <v>0.62370000000000003</v>
      </c>
      <c r="G11">
        <v>1.0492480079557069</v>
      </c>
      <c r="H11">
        <v>102.98411</v>
      </c>
    </row>
    <row r="12" spans="1:8" x14ac:dyDescent="0.3">
      <c r="A12">
        <v>2018</v>
      </c>
      <c r="B12">
        <v>3</v>
      </c>
      <c r="C12">
        <v>3.8</v>
      </c>
      <c r="D12">
        <v>2.3320599999999998</v>
      </c>
      <c r="E12">
        <v>-1.0609940744590707</v>
      </c>
      <c r="F12">
        <v>0.14163999999999999</v>
      </c>
      <c r="G12">
        <v>1.0338094366560533</v>
      </c>
      <c r="H12">
        <v>103.44889999999999</v>
      </c>
    </row>
    <row r="13" spans="1:8" x14ac:dyDescent="0.3">
      <c r="A13">
        <v>2018</v>
      </c>
      <c r="B13">
        <v>4</v>
      </c>
      <c r="C13">
        <v>3.8</v>
      </c>
      <c r="D13">
        <v>2.00238</v>
      </c>
      <c r="E13">
        <v>-1.161151921852049</v>
      </c>
      <c r="F13">
        <v>0.62431999999999999</v>
      </c>
      <c r="G13">
        <v>1.0415287223058807</v>
      </c>
      <c r="H13">
        <v>105.04940999999999</v>
      </c>
    </row>
    <row r="14" spans="1:8" x14ac:dyDescent="0.3">
      <c r="A14">
        <v>2019</v>
      </c>
      <c r="B14">
        <v>1</v>
      </c>
      <c r="C14">
        <v>3.9</v>
      </c>
      <c r="D14">
        <v>1.8831899999999999</v>
      </c>
      <c r="E14">
        <v>-1.1669819057499839</v>
      </c>
      <c r="F14">
        <v>0.83514999999999995</v>
      </c>
      <c r="G14">
        <v>0.75591515326229108</v>
      </c>
      <c r="H14">
        <v>104.34017</v>
      </c>
    </row>
    <row r="15" spans="1:8" x14ac:dyDescent="0.3">
      <c r="A15">
        <v>2019</v>
      </c>
      <c r="B15">
        <v>2</v>
      </c>
      <c r="C15">
        <v>3.6</v>
      </c>
      <c r="D15">
        <v>1.67119</v>
      </c>
      <c r="E15">
        <v>-1.322529157221729</v>
      </c>
      <c r="F15">
        <v>1.17</v>
      </c>
      <c r="G15">
        <v>1.0569672936055345</v>
      </c>
      <c r="H15">
        <v>102.92245</v>
      </c>
    </row>
    <row r="16" spans="1:8" x14ac:dyDescent="0.3">
      <c r="A16">
        <v>2019</v>
      </c>
      <c r="B16">
        <v>3</v>
      </c>
      <c r="C16">
        <v>3.6</v>
      </c>
      <c r="D16">
        <v>1.6845000000000001</v>
      </c>
      <c r="E16">
        <v>-1.3184855362899144</v>
      </c>
      <c r="F16">
        <v>0.68188000000000004</v>
      </c>
      <c r="G16">
        <v>0.70188015371350365</v>
      </c>
      <c r="H16">
        <v>104.61492</v>
      </c>
    </row>
    <row r="17" spans="1:8" x14ac:dyDescent="0.3">
      <c r="A17">
        <v>2019</v>
      </c>
      <c r="B17">
        <v>4</v>
      </c>
      <c r="C17">
        <v>3.6</v>
      </c>
      <c r="D17">
        <v>2.3195299999999999</v>
      </c>
      <c r="E17">
        <v>-1.125561373981121</v>
      </c>
      <c r="F17">
        <v>-1.3924399999999999</v>
      </c>
      <c r="G17">
        <v>0.96433586580761332</v>
      </c>
      <c r="H17">
        <v>105.78193</v>
      </c>
    </row>
    <row r="18" spans="1:8" x14ac:dyDescent="0.3">
      <c r="A18">
        <v>2020</v>
      </c>
      <c r="B18">
        <v>1</v>
      </c>
      <c r="C18">
        <v>3.8</v>
      </c>
      <c r="D18">
        <v>1.49404</v>
      </c>
      <c r="E18">
        <v>-1.3155872535183513</v>
      </c>
      <c r="F18">
        <v>-7.9089700000000001</v>
      </c>
      <c r="G18">
        <v>0.90258158060899962</v>
      </c>
      <c r="H18">
        <v>106.88594999999999</v>
      </c>
    </row>
    <row r="19" spans="1:8" x14ac:dyDescent="0.3">
      <c r="A19">
        <v>2020</v>
      </c>
      <c r="B19">
        <v>2</v>
      </c>
      <c r="C19">
        <v>13</v>
      </c>
      <c r="D19">
        <v>0.71665999999999996</v>
      </c>
      <c r="E19">
        <v>1.2432318699014722</v>
      </c>
      <c r="F19">
        <v>7.8302300000000002</v>
      </c>
      <c r="G19">
        <v>-0.826538404952191</v>
      </c>
      <c r="H19">
        <v>132.81489999999999</v>
      </c>
    </row>
    <row r="20" spans="1:8" x14ac:dyDescent="0.3">
      <c r="A20">
        <v>2020</v>
      </c>
      <c r="B20">
        <v>3</v>
      </c>
      <c r="C20">
        <v>8.8000000000000007</v>
      </c>
      <c r="D20">
        <v>1.3910199999999999</v>
      </c>
      <c r="E20">
        <v>0.17213106584123142</v>
      </c>
      <c r="F20">
        <v>1.08473</v>
      </c>
      <c r="G20">
        <v>-0.7030298345549636</v>
      </c>
      <c r="H20">
        <v>124.26076999999999</v>
      </c>
    </row>
    <row r="21" spans="1:8" x14ac:dyDescent="0.3">
      <c r="A21">
        <v>2020</v>
      </c>
      <c r="B21">
        <v>4</v>
      </c>
      <c r="C21">
        <v>6.8</v>
      </c>
      <c r="D21">
        <v>1.3204199999999999</v>
      </c>
      <c r="E21">
        <v>-0.45692389294274421</v>
      </c>
      <c r="F21">
        <v>1.38019</v>
      </c>
      <c r="G21">
        <v>-0.37881983726224022</v>
      </c>
      <c r="H21">
        <v>125.73334</v>
      </c>
    </row>
    <row r="22" spans="1:8" x14ac:dyDescent="0.3">
      <c r="A22">
        <v>2021</v>
      </c>
      <c r="B22">
        <v>1</v>
      </c>
      <c r="C22">
        <v>6.2</v>
      </c>
      <c r="D22">
        <v>2.62365</v>
      </c>
      <c r="E22">
        <v>-0.24328035065275294</v>
      </c>
      <c r="F22">
        <v>1.5700400000000001</v>
      </c>
      <c r="G22">
        <v>-0.34794269466293282</v>
      </c>
      <c r="H22">
        <v>124.16837</v>
      </c>
    </row>
    <row r="23" spans="1:8" x14ac:dyDescent="0.3">
      <c r="A23">
        <v>2021</v>
      </c>
      <c r="B23">
        <v>2</v>
      </c>
      <c r="C23">
        <v>5.9</v>
      </c>
      <c r="D23">
        <v>5.3174200000000003</v>
      </c>
      <c r="E23">
        <v>0.4839546965259956</v>
      </c>
      <c r="F23">
        <v>0.85285</v>
      </c>
      <c r="G23">
        <v>6.8898730427710608E-2</v>
      </c>
      <c r="H23">
        <v>122.08313</v>
      </c>
    </row>
    <row r="24" spans="1:8" x14ac:dyDescent="0.3">
      <c r="A24">
        <v>2021</v>
      </c>
      <c r="B24">
        <v>3</v>
      </c>
      <c r="C24">
        <v>5.0999999999999996</v>
      </c>
      <c r="D24">
        <v>5.3635200000000003</v>
      </c>
      <c r="E24">
        <v>0.25491744479836109</v>
      </c>
      <c r="F24">
        <v>1.8031600000000001</v>
      </c>
      <c r="G24">
        <v>-0.7647841197535773</v>
      </c>
      <c r="H24">
        <v>118.84010000000001</v>
      </c>
    </row>
    <row r="25" spans="1:8" x14ac:dyDescent="0.3">
      <c r="A25">
        <v>2021</v>
      </c>
      <c r="B25">
        <v>4</v>
      </c>
      <c r="C25">
        <v>4.2</v>
      </c>
      <c r="D25">
        <v>7.1594600000000002</v>
      </c>
      <c r="E25">
        <v>0.52710690668038351</v>
      </c>
      <c r="F25">
        <v>-0.25745000000000001</v>
      </c>
      <c r="G25">
        <v>-1.143029116595087</v>
      </c>
      <c r="H25">
        <v>119.53493</v>
      </c>
    </row>
    <row r="26" spans="1:8" x14ac:dyDescent="0.3">
      <c r="A26">
        <v>2022</v>
      </c>
      <c r="B26">
        <v>1</v>
      </c>
      <c r="C26">
        <v>3.8</v>
      </c>
      <c r="D26">
        <v>8.5407799999999998</v>
      </c>
      <c r="E26">
        <v>0.82523508795822076</v>
      </c>
      <c r="F26">
        <v>7.0180000000000006E-2</v>
      </c>
      <c r="G26">
        <v>-1.6679405407833057</v>
      </c>
      <c r="H26">
        <v>120.56462000000001</v>
      </c>
    </row>
    <row r="27" spans="1:8" x14ac:dyDescent="0.3">
      <c r="A27">
        <v>2022</v>
      </c>
      <c r="B27">
        <v>2</v>
      </c>
      <c r="C27">
        <v>3.6</v>
      </c>
      <c r="D27">
        <v>8.9992999999999999</v>
      </c>
      <c r="E27">
        <v>0.90377429782243102</v>
      </c>
      <c r="F27">
        <v>0.67320999999999998</v>
      </c>
      <c r="G27">
        <v>-2.0770626802241234</v>
      </c>
      <c r="H27">
        <v>118.45629</v>
      </c>
    </row>
    <row r="28" spans="1:8" x14ac:dyDescent="0.3">
      <c r="A28">
        <v>2022</v>
      </c>
      <c r="B28">
        <v>3</v>
      </c>
      <c r="C28">
        <v>3.5</v>
      </c>
      <c r="D28">
        <v>8.2057500000000001</v>
      </c>
      <c r="E28">
        <v>0.6323109256494277</v>
      </c>
      <c r="F28">
        <v>0.82782999999999995</v>
      </c>
      <c r="G28">
        <v>-2.2082905362711776</v>
      </c>
      <c r="H28">
        <v>117.72571000000001</v>
      </c>
    </row>
    <row r="29" spans="1:8" x14ac:dyDescent="0.3">
      <c r="A29">
        <v>2022</v>
      </c>
      <c r="B29">
        <v>4</v>
      </c>
      <c r="C29">
        <v>3.6</v>
      </c>
      <c r="D29">
        <v>6.4108299999999998</v>
      </c>
      <c r="E29">
        <v>0.1173887626328453</v>
      </c>
      <c r="F29">
        <v>0.69203999999999999</v>
      </c>
      <c r="G29">
        <v>-1.9998698237258561</v>
      </c>
      <c r="H29">
        <v>117.52585999999999</v>
      </c>
    </row>
    <row r="30" spans="1:8" x14ac:dyDescent="0.3">
      <c r="A30">
        <v>2023</v>
      </c>
      <c r="B30">
        <v>1</v>
      </c>
      <c r="C30">
        <v>3.5</v>
      </c>
      <c r="D30">
        <v>4.9313500000000001</v>
      </c>
      <c r="E30">
        <v>-0.36246235602846716</v>
      </c>
      <c r="F30">
        <v>0.60697000000000001</v>
      </c>
      <c r="G30">
        <v>-1.5521512560359052</v>
      </c>
      <c r="H30">
        <v>115.80777</v>
      </c>
    </row>
    <row r="31" spans="1:8" x14ac:dyDescent="0.3">
      <c r="A31">
        <v>2023</v>
      </c>
      <c r="B31">
        <v>2</v>
      </c>
      <c r="C31">
        <v>3.5</v>
      </c>
      <c r="D31">
        <v>3.05925</v>
      </c>
      <c r="E31">
        <v>-0.93121237454458816</v>
      </c>
      <c r="F31">
        <v>1.07152</v>
      </c>
      <c r="G31">
        <v>-1.72969482598192</v>
      </c>
      <c r="H31">
        <v>117.76969</v>
      </c>
    </row>
    <row r="32" spans="1:8" x14ac:dyDescent="0.3">
      <c r="A32">
        <v>2023</v>
      </c>
      <c r="B32">
        <v>3</v>
      </c>
      <c r="C32">
        <v>3.7</v>
      </c>
      <c r="D32">
        <v>3.6950799999999999</v>
      </c>
      <c r="E32">
        <v>-0.67728452454921972</v>
      </c>
      <c r="F32">
        <v>0.78866999999999998</v>
      </c>
      <c r="G32">
        <v>-1.166186973544568</v>
      </c>
      <c r="H32">
        <v>118.59157999999999</v>
      </c>
    </row>
    <row r="33" spans="1:8" x14ac:dyDescent="0.3">
      <c r="A33">
        <v>2023</v>
      </c>
      <c r="B33">
        <v>4</v>
      </c>
      <c r="C33">
        <v>3.8</v>
      </c>
      <c r="D33">
        <v>3.3222</v>
      </c>
      <c r="E33">
        <v>-0.7601863487320516</v>
      </c>
      <c r="F33">
        <v>0.40479999999999999</v>
      </c>
      <c r="G33">
        <v>-1.5289933990864242</v>
      </c>
      <c r="H33">
        <v>120.15949999999999</v>
      </c>
    </row>
    <row r="34" spans="1:8" x14ac:dyDescent="0.3">
      <c r="A34">
        <v>2024</v>
      </c>
      <c r="B34">
        <v>1</v>
      </c>
      <c r="C34">
        <v>3.8</v>
      </c>
      <c r="D34">
        <v>3.4689999999999999</v>
      </c>
      <c r="E34">
        <v>-0.71558803522413694</v>
      </c>
      <c r="F34">
        <v>0.73897999999999997</v>
      </c>
      <c r="G34">
        <v>-0.48688983635981392</v>
      </c>
      <c r="H34">
        <v>120.83025000000001</v>
      </c>
    </row>
    <row r="35" spans="1:8" x14ac:dyDescent="0.3">
      <c r="A35">
        <v>2024</v>
      </c>
      <c r="B35">
        <v>2</v>
      </c>
      <c r="C35">
        <v>4</v>
      </c>
      <c r="D35">
        <v>2.9700899999999999</v>
      </c>
      <c r="E35">
        <v>-0.80639785736753411</v>
      </c>
      <c r="F35">
        <v>0.75951000000000002</v>
      </c>
      <c r="G35">
        <v>-1.0195205461978596</v>
      </c>
      <c r="H35">
        <v>120.0399</v>
      </c>
    </row>
    <row r="36" spans="1:8" x14ac:dyDescent="0.3">
      <c r="A36">
        <v>2024</v>
      </c>
      <c r="B36">
        <v>3</v>
      </c>
      <c r="C36">
        <v>4.2</v>
      </c>
      <c r="D36">
        <v>2.4325399999999999</v>
      </c>
      <c r="E36">
        <v>-0.90894663614543936</v>
      </c>
      <c r="F36">
        <v>0.60707</v>
      </c>
      <c r="G36">
        <v>-1.2819762582919692</v>
      </c>
      <c r="H36">
        <v>120.73116</v>
      </c>
    </row>
    <row r="37" spans="1:8" x14ac:dyDescent="0.3">
      <c r="A37">
        <v>2024</v>
      </c>
      <c r="B37">
        <v>4</v>
      </c>
      <c r="C37">
        <v>4.0999999999999996</v>
      </c>
      <c r="D37">
        <v>2.8723700000000001</v>
      </c>
      <c r="E37">
        <v>-0.80570518601332408</v>
      </c>
      <c r="G37">
        <v>-0.97320483229889954</v>
      </c>
      <c r="H37">
        <v>121.85026000000001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Quarterly</vt:lpstr>
      <vt:lpstr>Matlab</vt:lpstr>
      <vt:lpstr>Matlab_ant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Barreto</dc:creator>
  <cp:lastModifiedBy>Leonardo Barreto</cp:lastModifiedBy>
  <cp:lastPrinted>2025-09-21T03:21:50Z</cp:lastPrinted>
  <dcterms:created xsi:type="dcterms:W3CDTF">2025-04-26T23:04:24Z</dcterms:created>
  <dcterms:modified xsi:type="dcterms:W3CDTF">2025-09-21T03:22:40Z</dcterms:modified>
</cp:coreProperties>
</file>